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IMTA.FR\Homes\p24folle\PERAN\PROJET COGEPRO\02_Mesures\Data for student project\"/>
    </mc:Choice>
  </mc:AlternateContent>
  <xr:revisionPtr revIDLastSave="0" documentId="13_ncr:1_{41B3E17E-2884-4A73-B786-ABF411880C5A}" xr6:coauthVersionLast="47" xr6:coauthVersionMax="47" xr10:uidLastSave="{00000000-0000-0000-0000-000000000000}"/>
  <bookViews>
    <workbookView xWindow="-108" yWindow="-108" windowWidth="23256" windowHeight="14016" xr2:uid="{2AF78527-7EC3-46A4-BCF7-0DF1AE700A93}"/>
  </bookViews>
  <sheets>
    <sheet name="P0C70" sheetId="52" r:id="rId1"/>
    <sheet name="P2C70" sheetId="53" r:id="rId2"/>
    <sheet name="P4C70" sheetId="54" r:id="rId3"/>
    <sheet name="P6C70_1" sheetId="55" r:id="rId4"/>
    <sheet name="P6C70_2" sheetId="56" r:id="rId5"/>
    <sheet name="P8C70" sheetId="57" r:id="rId6"/>
    <sheet name="P10C70" sheetId="58" r:id="rId7"/>
    <sheet name="P12C70" sheetId="59" r:id="rId8"/>
    <sheet name="P0C60" sheetId="60" r:id="rId9"/>
    <sheet name="P2C60_1" sheetId="61" r:id="rId10"/>
    <sheet name="P2C60_2" sheetId="62" r:id="rId11"/>
    <sheet name="P4C60" sheetId="63" r:id="rId12"/>
    <sheet name="P6C60" sheetId="64" r:id="rId13"/>
    <sheet name="P8C60_1" sheetId="65" r:id="rId14"/>
    <sheet name="P8C60_2" sheetId="66" r:id="rId15"/>
    <sheet name="P10C60" sheetId="67" r:id="rId16"/>
    <sheet name="P12C60" sheetId="68" r:id="rId17"/>
    <sheet name="P14C60" sheetId="69" r:id="rId18"/>
    <sheet name="P0C50" sheetId="70" r:id="rId19"/>
    <sheet name="P2C50" sheetId="71" r:id="rId20"/>
    <sheet name="P4C50" sheetId="72" r:id="rId21"/>
    <sheet name="P6C50_1" sheetId="73" r:id="rId22"/>
    <sheet name="P6C50_2" sheetId="74" r:id="rId23"/>
    <sheet name="P8C50" sheetId="75" r:id="rId24"/>
    <sheet name="P10C50" sheetId="76" r:id="rId25"/>
    <sheet name="P12C50_1" sheetId="77" r:id="rId26"/>
    <sheet name="P12C50_2" sheetId="78" r:id="rId27"/>
    <sheet name="P14C50" sheetId="79" r:id="rId28"/>
    <sheet name="P0C40_1" sheetId="80" r:id="rId29"/>
    <sheet name="P0C40_2" sheetId="81" r:id="rId30"/>
    <sheet name="P2C40" sheetId="82" r:id="rId31"/>
    <sheet name="P4C40" sheetId="83" r:id="rId32"/>
    <sheet name="P6C40" sheetId="84" r:id="rId33"/>
    <sheet name="P8C40" sheetId="85" r:id="rId34"/>
    <sheet name="P10C40" sheetId="86" r:id="rId35"/>
    <sheet name="P12C40" sheetId="87" r:id="rId36"/>
    <sheet name="P14C40" sheetId="88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88" l="1"/>
  <c r="S26" i="88"/>
  <c r="K2" i="88" s="1"/>
  <c r="M2" i="88" s="1"/>
  <c r="R26" i="88"/>
  <c r="Q26" i="88"/>
  <c r="P26" i="88"/>
  <c r="P28" i="88" s="1"/>
  <c r="O26" i="88"/>
  <c r="N26" i="88"/>
  <c r="M26" i="88"/>
  <c r="L26" i="88"/>
  <c r="K26" i="88"/>
  <c r="J26" i="88"/>
  <c r="Q2" i="88" s="1"/>
  <c r="I26" i="88"/>
  <c r="H26" i="88"/>
  <c r="G26" i="88"/>
  <c r="F26" i="88"/>
  <c r="E26" i="88"/>
  <c r="D26" i="88"/>
  <c r="C26" i="88"/>
  <c r="B26" i="88"/>
  <c r="T26" i="87"/>
  <c r="S26" i="87"/>
  <c r="K2" i="87" s="1"/>
  <c r="R26" i="87"/>
  <c r="Q26" i="87"/>
  <c r="P26" i="87"/>
  <c r="P28" i="87" s="1"/>
  <c r="O26" i="87"/>
  <c r="N26" i="87"/>
  <c r="M26" i="87"/>
  <c r="L26" i="87"/>
  <c r="K26" i="87"/>
  <c r="J26" i="87"/>
  <c r="I26" i="87"/>
  <c r="H26" i="87"/>
  <c r="G26" i="87"/>
  <c r="F26" i="87"/>
  <c r="E26" i="87"/>
  <c r="D26" i="87"/>
  <c r="C26" i="87"/>
  <c r="B26" i="87"/>
  <c r="T26" i="86"/>
  <c r="S26" i="86"/>
  <c r="R26" i="86"/>
  <c r="Q26" i="86"/>
  <c r="P26" i="86"/>
  <c r="O26" i="86"/>
  <c r="P28" i="86" s="1"/>
  <c r="N26" i="86"/>
  <c r="M26" i="86"/>
  <c r="L26" i="86"/>
  <c r="K26" i="86"/>
  <c r="J26" i="86"/>
  <c r="Q2" i="86" s="1"/>
  <c r="I26" i="86"/>
  <c r="H26" i="86"/>
  <c r="G26" i="86"/>
  <c r="F26" i="86"/>
  <c r="E26" i="86"/>
  <c r="D26" i="86"/>
  <c r="C26" i="86"/>
  <c r="B26" i="86"/>
  <c r="M2" i="86"/>
  <c r="U2" i="86" s="1"/>
  <c r="K2" i="86"/>
  <c r="T26" i="85"/>
  <c r="S26" i="85"/>
  <c r="R26" i="85"/>
  <c r="Q26" i="85"/>
  <c r="P26" i="85"/>
  <c r="P28" i="85" s="1"/>
  <c r="O26" i="85"/>
  <c r="N26" i="85"/>
  <c r="M26" i="85"/>
  <c r="L26" i="85"/>
  <c r="K26" i="85"/>
  <c r="J26" i="85"/>
  <c r="Q2" i="85" s="1"/>
  <c r="I26" i="85"/>
  <c r="H26" i="85"/>
  <c r="G26" i="85"/>
  <c r="F26" i="85"/>
  <c r="E26" i="85"/>
  <c r="D26" i="85"/>
  <c r="C26" i="85"/>
  <c r="B26" i="85"/>
  <c r="K2" i="85"/>
  <c r="M2" i="85" s="1"/>
  <c r="T26" i="84"/>
  <c r="S26" i="84"/>
  <c r="K2" i="84" s="1"/>
  <c r="R26" i="84"/>
  <c r="Q26" i="84"/>
  <c r="P26" i="84"/>
  <c r="P28" i="84" s="1"/>
  <c r="O26" i="84"/>
  <c r="N26" i="84"/>
  <c r="M26" i="84"/>
  <c r="L26" i="84"/>
  <c r="K26" i="84"/>
  <c r="J26" i="84"/>
  <c r="I26" i="84"/>
  <c r="H26" i="84"/>
  <c r="G26" i="84"/>
  <c r="F26" i="84"/>
  <c r="E26" i="84"/>
  <c r="D26" i="84"/>
  <c r="C26" i="84"/>
  <c r="B26" i="84"/>
  <c r="P28" i="83"/>
  <c r="T26" i="83"/>
  <c r="S26" i="83"/>
  <c r="K2" i="83" s="1"/>
  <c r="R26" i="83"/>
  <c r="Q26" i="83"/>
  <c r="P26" i="83"/>
  <c r="O26" i="83"/>
  <c r="N26" i="83"/>
  <c r="M26" i="83"/>
  <c r="L26" i="83"/>
  <c r="K26" i="83"/>
  <c r="J26" i="83"/>
  <c r="I26" i="83"/>
  <c r="H26" i="83"/>
  <c r="G26" i="83"/>
  <c r="F26" i="83"/>
  <c r="E26" i="83"/>
  <c r="D26" i="83"/>
  <c r="C26" i="83"/>
  <c r="B26" i="83"/>
  <c r="P28" i="82"/>
  <c r="T26" i="82"/>
  <c r="S26" i="82"/>
  <c r="R26" i="82"/>
  <c r="Q26" i="82"/>
  <c r="P26" i="82"/>
  <c r="O26" i="82"/>
  <c r="N26" i="82"/>
  <c r="M26" i="82"/>
  <c r="L26" i="82"/>
  <c r="K26" i="82"/>
  <c r="J26" i="82"/>
  <c r="I26" i="82"/>
  <c r="H26" i="82"/>
  <c r="M2" i="82" s="1"/>
  <c r="O2" i="82" s="1"/>
  <c r="G26" i="82"/>
  <c r="U2" i="82" s="1"/>
  <c r="F26" i="82"/>
  <c r="E26" i="82"/>
  <c r="D26" i="82"/>
  <c r="C26" i="82"/>
  <c r="B26" i="82"/>
  <c r="K2" i="82"/>
  <c r="T26" i="81"/>
  <c r="S26" i="81"/>
  <c r="K2" i="81" s="1"/>
  <c r="M2" i="81" s="1"/>
  <c r="R26" i="81"/>
  <c r="Q26" i="81"/>
  <c r="P26" i="81"/>
  <c r="P28" i="81" s="1"/>
  <c r="O26" i="81"/>
  <c r="N26" i="81"/>
  <c r="M26" i="81"/>
  <c r="L26" i="81"/>
  <c r="K26" i="81"/>
  <c r="J26" i="81"/>
  <c r="Q2" i="81" s="1"/>
  <c r="I26" i="81"/>
  <c r="H26" i="81"/>
  <c r="G26" i="81"/>
  <c r="F26" i="81"/>
  <c r="E26" i="81"/>
  <c r="D26" i="81"/>
  <c r="C26" i="81"/>
  <c r="B26" i="81"/>
  <c r="T26" i="80"/>
  <c r="S26" i="80"/>
  <c r="K2" i="80" s="1"/>
  <c r="R26" i="80"/>
  <c r="Q26" i="80"/>
  <c r="P26" i="80"/>
  <c r="P28" i="80" s="1"/>
  <c r="O26" i="80"/>
  <c r="N26" i="80"/>
  <c r="M26" i="80"/>
  <c r="L26" i="80"/>
  <c r="K26" i="80"/>
  <c r="J26" i="80"/>
  <c r="I26" i="80"/>
  <c r="H26" i="80"/>
  <c r="M2" i="80" s="1"/>
  <c r="G26" i="80"/>
  <c r="F26" i="80"/>
  <c r="E26" i="80"/>
  <c r="D26" i="80"/>
  <c r="C26" i="80"/>
  <c r="B26" i="80"/>
  <c r="T26" i="79"/>
  <c r="S26" i="79"/>
  <c r="K2" i="79" s="1"/>
  <c r="R26" i="79"/>
  <c r="Q26" i="79"/>
  <c r="P26" i="79"/>
  <c r="P28" i="79" s="1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P28" i="78"/>
  <c r="T26" i="78"/>
  <c r="S26" i="78"/>
  <c r="K2" i="78" s="1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T26" i="77"/>
  <c r="S26" i="77"/>
  <c r="K2" i="77" s="1"/>
  <c r="M2" i="77" s="1"/>
  <c r="R26" i="77"/>
  <c r="Q26" i="77"/>
  <c r="P26" i="77"/>
  <c r="P28" i="77" s="1"/>
  <c r="O26" i="77"/>
  <c r="N26" i="77"/>
  <c r="M26" i="77"/>
  <c r="L26" i="77"/>
  <c r="K26" i="77"/>
  <c r="J26" i="77"/>
  <c r="Q2" i="77" s="1"/>
  <c r="I26" i="77"/>
  <c r="H26" i="77"/>
  <c r="G26" i="77"/>
  <c r="F26" i="77"/>
  <c r="E26" i="77"/>
  <c r="D26" i="77"/>
  <c r="C26" i="77"/>
  <c r="B26" i="77"/>
  <c r="P28" i="76"/>
  <c r="T26" i="76"/>
  <c r="S26" i="76"/>
  <c r="R26" i="76"/>
  <c r="Q26" i="76"/>
  <c r="P26" i="76"/>
  <c r="O26" i="76"/>
  <c r="N26" i="76"/>
  <c r="M26" i="76"/>
  <c r="L26" i="76"/>
  <c r="K26" i="76"/>
  <c r="J26" i="76"/>
  <c r="Q2" i="76" s="1"/>
  <c r="I26" i="76"/>
  <c r="H26" i="76"/>
  <c r="G26" i="76"/>
  <c r="F26" i="76"/>
  <c r="E26" i="76"/>
  <c r="D26" i="76"/>
  <c r="C26" i="76"/>
  <c r="B26" i="76"/>
  <c r="M2" i="76"/>
  <c r="O2" i="76" s="1"/>
  <c r="K2" i="76"/>
  <c r="P28" i="75"/>
  <c r="T26" i="75"/>
  <c r="S26" i="75"/>
  <c r="K2" i="75" s="1"/>
  <c r="R26" i="75"/>
  <c r="Q26" i="75"/>
  <c r="P26" i="75"/>
  <c r="O26" i="75"/>
  <c r="N26" i="75"/>
  <c r="M26" i="75"/>
  <c r="L26" i="75"/>
  <c r="K26" i="75"/>
  <c r="J26" i="75"/>
  <c r="I26" i="75"/>
  <c r="H26" i="75"/>
  <c r="G26" i="75"/>
  <c r="F26" i="75"/>
  <c r="E26" i="75"/>
  <c r="D26" i="75"/>
  <c r="C26" i="75"/>
  <c r="B26" i="75"/>
  <c r="P28" i="74"/>
  <c r="T26" i="74"/>
  <c r="S26" i="74"/>
  <c r="K2" i="74" s="1"/>
  <c r="R26" i="74"/>
  <c r="Q26" i="74"/>
  <c r="P26" i="74"/>
  <c r="O26" i="74"/>
  <c r="N26" i="74"/>
  <c r="M26" i="74"/>
  <c r="L26" i="74"/>
  <c r="K26" i="74"/>
  <c r="J26" i="74"/>
  <c r="I26" i="74"/>
  <c r="H26" i="74"/>
  <c r="G26" i="74"/>
  <c r="F26" i="74"/>
  <c r="E26" i="74"/>
  <c r="D26" i="74"/>
  <c r="C26" i="74"/>
  <c r="B26" i="74"/>
  <c r="T26" i="73"/>
  <c r="S26" i="73"/>
  <c r="K2" i="73" s="1"/>
  <c r="R26" i="73"/>
  <c r="Q26" i="73"/>
  <c r="P26" i="73"/>
  <c r="P28" i="73" s="1"/>
  <c r="O26" i="73"/>
  <c r="N26" i="73"/>
  <c r="M26" i="73"/>
  <c r="L26" i="73"/>
  <c r="K26" i="73"/>
  <c r="J26" i="73"/>
  <c r="I26" i="73"/>
  <c r="H26" i="73"/>
  <c r="G26" i="73"/>
  <c r="F26" i="73"/>
  <c r="E26" i="73"/>
  <c r="D26" i="73"/>
  <c r="C26" i="73"/>
  <c r="B26" i="73"/>
  <c r="T26" i="72"/>
  <c r="S26" i="72"/>
  <c r="K2" i="72" s="1"/>
  <c r="R26" i="72"/>
  <c r="Q26" i="72"/>
  <c r="P26" i="72"/>
  <c r="O26" i="72"/>
  <c r="P28" i="72" s="1"/>
  <c r="N26" i="72"/>
  <c r="M26" i="72"/>
  <c r="L26" i="72"/>
  <c r="K26" i="72"/>
  <c r="J26" i="72"/>
  <c r="I26" i="72"/>
  <c r="H26" i="72"/>
  <c r="G26" i="72"/>
  <c r="F26" i="72"/>
  <c r="E26" i="72"/>
  <c r="D26" i="72"/>
  <c r="C26" i="72"/>
  <c r="B26" i="72"/>
  <c r="T26" i="71"/>
  <c r="S26" i="71"/>
  <c r="K2" i="71" s="1"/>
  <c r="R26" i="71"/>
  <c r="Q26" i="71"/>
  <c r="P26" i="71"/>
  <c r="P28" i="71" s="1"/>
  <c r="O26" i="71"/>
  <c r="N26" i="71"/>
  <c r="M26" i="71"/>
  <c r="L26" i="71"/>
  <c r="K26" i="71"/>
  <c r="J26" i="71"/>
  <c r="I26" i="71"/>
  <c r="H26" i="71"/>
  <c r="G26" i="71"/>
  <c r="F26" i="71"/>
  <c r="E26" i="71"/>
  <c r="D26" i="71"/>
  <c r="C26" i="71"/>
  <c r="B26" i="71"/>
  <c r="T26" i="70"/>
  <c r="S26" i="70"/>
  <c r="K2" i="70" s="1"/>
  <c r="R26" i="70"/>
  <c r="Q26" i="70"/>
  <c r="P26" i="70"/>
  <c r="P28" i="70" s="1"/>
  <c r="O26" i="70"/>
  <c r="N26" i="70"/>
  <c r="M26" i="70"/>
  <c r="L26" i="70"/>
  <c r="K26" i="70"/>
  <c r="J26" i="70"/>
  <c r="I26" i="70"/>
  <c r="H26" i="70"/>
  <c r="G26" i="70"/>
  <c r="F26" i="70"/>
  <c r="E26" i="70"/>
  <c r="D26" i="70"/>
  <c r="C26" i="70"/>
  <c r="B26" i="70"/>
  <c r="P28" i="69"/>
  <c r="T26" i="69"/>
  <c r="S26" i="69"/>
  <c r="K2" i="69" s="1"/>
  <c r="R26" i="69"/>
  <c r="Q26" i="69"/>
  <c r="P26" i="69"/>
  <c r="O26" i="69"/>
  <c r="N26" i="69"/>
  <c r="M26" i="69"/>
  <c r="L26" i="69"/>
  <c r="K26" i="69"/>
  <c r="J26" i="69"/>
  <c r="I26" i="69"/>
  <c r="H26" i="69"/>
  <c r="G26" i="69"/>
  <c r="F26" i="69"/>
  <c r="E26" i="69"/>
  <c r="D26" i="69"/>
  <c r="C26" i="69"/>
  <c r="B26" i="69"/>
  <c r="T26" i="68"/>
  <c r="S26" i="68"/>
  <c r="R26" i="68"/>
  <c r="K2" i="68" s="1"/>
  <c r="M2" i="68" s="1"/>
  <c r="Q26" i="68"/>
  <c r="P26" i="68"/>
  <c r="P28" i="68" s="1"/>
  <c r="O26" i="68"/>
  <c r="N26" i="68"/>
  <c r="M26" i="68"/>
  <c r="L26" i="68"/>
  <c r="K26" i="68"/>
  <c r="J26" i="68"/>
  <c r="Q2" i="68" s="1"/>
  <c r="I26" i="68"/>
  <c r="H26" i="68"/>
  <c r="G26" i="68"/>
  <c r="F26" i="68"/>
  <c r="E26" i="68"/>
  <c r="D26" i="68"/>
  <c r="C26" i="68"/>
  <c r="B26" i="68"/>
  <c r="P28" i="67"/>
  <c r="T26" i="67"/>
  <c r="S26" i="67"/>
  <c r="K2" i="67" s="1"/>
  <c r="R26" i="67"/>
  <c r="Q26" i="67"/>
  <c r="P26" i="67"/>
  <c r="O26" i="67"/>
  <c r="N26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P28" i="66"/>
  <c r="T26" i="66"/>
  <c r="S26" i="66"/>
  <c r="R26" i="66"/>
  <c r="K2" i="66" s="1"/>
  <c r="Q26" i="66"/>
  <c r="P26" i="66"/>
  <c r="O26" i="66"/>
  <c r="N26" i="66"/>
  <c r="M26" i="66"/>
  <c r="L26" i="66"/>
  <c r="K26" i="66"/>
  <c r="J26" i="66"/>
  <c r="I26" i="66"/>
  <c r="H26" i="66"/>
  <c r="G26" i="66"/>
  <c r="F26" i="66"/>
  <c r="E26" i="66"/>
  <c r="D26" i="66"/>
  <c r="C26" i="66"/>
  <c r="B26" i="66"/>
  <c r="T26" i="65"/>
  <c r="S26" i="65"/>
  <c r="K2" i="65" s="1"/>
  <c r="M2" i="65" s="1"/>
  <c r="R26" i="65"/>
  <c r="Q26" i="65"/>
  <c r="P26" i="65"/>
  <c r="P28" i="65" s="1"/>
  <c r="O26" i="65"/>
  <c r="N26" i="65"/>
  <c r="M26" i="65"/>
  <c r="L26" i="65"/>
  <c r="K26" i="65"/>
  <c r="J26" i="65"/>
  <c r="Q2" i="65" s="1"/>
  <c r="I26" i="65"/>
  <c r="H26" i="65"/>
  <c r="G26" i="65"/>
  <c r="F26" i="65"/>
  <c r="E26" i="65"/>
  <c r="D26" i="65"/>
  <c r="C26" i="65"/>
  <c r="B26" i="65"/>
  <c r="T26" i="64"/>
  <c r="S26" i="64"/>
  <c r="K2" i="64" s="1"/>
  <c r="M2" i="64" s="1"/>
  <c r="R26" i="64"/>
  <c r="Q26" i="64"/>
  <c r="P26" i="64"/>
  <c r="P28" i="64" s="1"/>
  <c r="O26" i="64"/>
  <c r="N26" i="64"/>
  <c r="M26" i="64"/>
  <c r="L26" i="64"/>
  <c r="K26" i="64"/>
  <c r="J26" i="64"/>
  <c r="Q2" i="64" s="1"/>
  <c r="I26" i="64"/>
  <c r="H26" i="64"/>
  <c r="G26" i="64"/>
  <c r="F26" i="64"/>
  <c r="E26" i="64"/>
  <c r="D26" i="64"/>
  <c r="C26" i="64"/>
  <c r="B26" i="64"/>
  <c r="T26" i="63"/>
  <c r="S26" i="63"/>
  <c r="K2" i="63" s="1"/>
  <c r="M2" i="63" s="1"/>
  <c r="R26" i="63"/>
  <c r="Q26" i="63"/>
  <c r="P26" i="63"/>
  <c r="P28" i="63" s="1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P28" i="62"/>
  <c r="T26" i="62"/>
  <c r="S26" i="62"/>
  <c r="R26" i="62"/>
  <c r="Q26" i="62"/>
  <c r="P26" i="62"/>
  <c r="O26" i="62"/>
  <c r="N26" i="62"/>
  <c r="M26" i="62"/>
  <c r="L26" i="62"/>
  <c r="K26" i="62"/>
  <c r="J26" i="62"/>
  <c r="Q2" i="62" s="1"/>
  <c r="I26" i="62"/>
  <c r="H26" i="62"/>
  <c r="G26" i="62"/>
  <c r="F26" i="62"/>
  <c r="E26" i="62"/>
  <c r="D26" i="62"/>
  <c r="C26" i="62"/>
  <c r="B26" i="62"/>
  <c r="K2" i="62"/>
  <c r="M2" i="62" s="1"/>
  <c r="T26" i="61"/>
  <c r="S26" i="61"/>
  <c r="K2" i="61" s="1"/>
  <c r="M2" i="61" s="1"/>
  <c r="R26" i="61"/>
  <c r="Q26" i="61"/>
  <c r="P26" i="61"/>
  <c r="P28" i="61" s="1"/>
  <c r="O26" i="61"/>
  <c r="N26" i="61"/>
  <c r="M26" i="61"/>
  <c r="L26" i="61"/>
  <c r="K26" i="61"/>
  <c r="J26" i="61"/>
  <c r="Q2" i="61" s="1"/>
  <c r="I26" i="61"/>
  <c r="H26" i="61"/>
  <c r="G26" i="61"/>
  <c r="F26" i="61"/>
  <c r="E26" i="61"/>
  <c r="D26" i="61"/>
  <c r="C26" i="61"/>
  <c r="B26" i="61"/>
  <c r="P28" i="60"/>
  <c r="T26" i="60"/>
  <c r="S26" i="60"/>
  <c r="K2" i="60" s="1"/>
  <c r="R26" i="60"/>
  <c r="Q26" i="60"/>
  <c r="P26" i="60"/>
  <c r="O26" i="60"/>
  <c r="N26" i="60"/>
  <c r="M26" i="60"/>
  <c r="L26" i="60"/>
  <c r="K26" i="60"/>
  <c r="J26" i="60"/>
  <c r="I26" i="60"/>
  <c r="H26" i="60"/>
  <c r="G26" i="60"/>
  <c r="F26" i="60"/>
  <c r="E26" i="60"/>
  <c r="D26" i="60"/>
  <c r="C26" i="60"/>
  <c r="B26" i="60"/>
  <c r="T26" i="59"/>
  <c r="S26" i="59"/>
  <c r="R26" i="59"/>
  <c r="Q26" i="59"/>
  <c r="P26" i="59"/>
  <c r="P28" i="59" s="1"/>
  <c r="O26" i="59"/>
  <c r="N26" i="59"/>
  <c r="M26" i="59"/>
  <c r="L26" i="59"/>
  <c r="K26" i="59"/>
  <c r="J26" i="59"/>
  <c r="Q2" i="59" s="1"/>
  <c r="I26" i="59"/>
  <c r="H26" i="59"/>
  <c r="G26" i="59"/>
  <c r="F26" i="59"/>
  <c r="E26" i="59"/>
  <c r="D26" i="59"/>
  <c r="C26" i="59"/>
  <c r="B26" i="59"/>
  <c r="M2" i="59"/>
  <c r="O2" i="59" s="1"/>
  <c r="K2" i="59"/>
  <c r="O2" i="88" l="1"/>
  <c r="U2" i="88"/>
  <c r="M2" i="87"/>
  <c r="Q2" i="87"/>
  <c r="O2" i="86"/>
  <c r="U2" i="85"/>
  <c r="O2" i="85"/>
  <c r="M2" i="84"/>
  <c r="M2" i="83"/>
  <c r="O2" i="83" s="1"/>
  <c r="Q2" i="82"/>
  <c r="U2" i="81"/>
  <c r="O2" i="81"/>
  <c r="O2" i="80"/>
  <c r="Q2" i="80"/>
  <c r="U2" i="80"/>
  <c r="M2" i="79"/>
  <c r="Q2" i="79" s="1"/>
  <c r="M2" i="78"/>
  <c r="O2" i="78" s="1"/>
  <c r="U2" i="77"/>
  <c r="O2" i="77"/>
  <c r="U2" i="76"/>
  <c r="M2" i="75"/>
  <c r="O2" i="75" s="1"/>
  <c r="U2" i="74"/>
  <c r="M2" i="74"/>
  <c r="O2" i="74" s="1"/>
  <c r="Q2" i="74"/>
  <c r="M2" i="73"/>
  <c r="O2" i="73" s="1"/>
  <c r="M2" i="72"/>
  <c r="Q2" i="72" s="1"/>
  <c r="M2" i="71"/>
  <c r="Q2" i="71"/>
  <c r="M2" i="70"/>
  <c r="M2" i="69"/>
  <c r="O2" i="69" s="1"/>
  <c r="U2" i="68"/>
  <c r="O2" i="68"/>
  <c r="U2" i="67"/>
  <c r="M2" i="67"/>
  <c r="O2" i="67" s="1"/>
  <c r="Q2" i="67"/>
  <c r="M2" i="66"/>
  <c r="U2" i="66" s="1"/>
  <c r="O2" i="65"/>
  <c r="U2" i="65"/>
  <c r="U2" i="64"/>
  <c r="O2" i="64"/>
  <c r="Q2" i="63"/>
  <c r="U2" i="63"/>
  <c r="O2" i="63"/>
  <c r="U2" i="62"/>
  <c r="O2" i="62"/>
  <c r="O2" i="61"/>
  <c r="U2" i="61"/>
  <c r="M2" i="60"/>
  <c r="U2" i="60" s="1"/>
  <c r="Q2" i="60"/>
  <c r="U2" i="59"/>
  <c r="T26" i="58"/>
  <c r="S26" i="58"/>
  <c r="K2" i="58" s="1"/>
  <c r="M2" i="58" s="1"/>
  <c r="O2" i="58" s="1"/>
  <c r="R26" i="58"/>
  <c r="Q26" i="58"/>
  <c r="P26" i="58"/>
  <c r="P28" i="58" s="1"/>
  <c r="O26" i="58"/>
  <c r="N26" i="58"/>
  <c r="M26" i="58"/>
  <c r="L26" i="58"/>
  <c r="K26" i="58"/>
  <c r="J26" i="58"/>
  <c r="Q2" i="58" s="1"/>
  <c r="I26" i="58"/>
  <c r="H26" i="58"/>
  <c r="G26" i="58"/>
  <c r="U2" i="58" s="1"/>
  <c r="F26" i="58"/>
  <c r="E26" i="58"/>
  <c r="D26" i="58"/>
  <c r="C26" i="58"/>
  <c r="B26" i="58"/>
  <c r="T26" i="57"/>
  <c r="S26" i="57"/>
  <c r="K2" i="57" s="1"/>
  <c r="M2" i="57" s="1"/>
  <c r="R26" i="57"/>
  <c r="Q26" i="57"/>
  <c r="P26" i="57"/>
  <c r="P28" i="57" s="1"/>
  <c r="O26" i="57"/>
  <c r="N26" i="57"/>
  <c r="M26" i="57"/>
  <c r="L26" i="57"/>
  <c r="K26" i="57"/>
  <c r="J26" i="57"/>
  <c r="Q2" i="57" s="1"/>
  <c r="I26" i="57"/>
  <c r="H26" i="57"/>
  <c r="G26" i="57"/>
  <c r="F26" i="57"/>
  <c r="E26" i="57"/>
  <c r="D26" i="57"/>
  <c r="C26" i="57"/>
  <c r="B26" i="57"/>
  <c r="T26" i="56"/>
  <c r="S26" i="56"/>
  <c r="K2" i="56" s="1"/>
  <c r="M2" i="56" s="1"/>
  <c r="R26" i="56"/>
  <c r="Q26" i="56"/>
  <c r="P26" i="56"/>
  <c r="P28" i="56" s="1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P28" i="55"/>
  <c r="T26" i="55"/>
  <c r="S26" i="55"/>
  <c r="R26" i="55"/>
  <c r="Q26" i="55"/>
  <c r="P26" i="55"/>
  <c r="O26" i="55"/>
  <c r="N26" i="55"/>
  <c r="M26" i="55"/>
  <c r="L26" i="55"/>
  <c r="K26" i="55"/>
  <c r="J26" i="55"/>
  <c r="I26" i="55"/>
  <c r="H26" i="55"/>
  <c r="M2" i="55" s="1"/>
  <c r="O2" i="55" s="1"/>
  <c r="G26" i="55"/>
  <c r="F26" i="55"/>
  <c r="E26" i="55"/>
  <c r="D26" i="55"/>
  <c r="C26" i="55"/>
  <c r="B26" i="55"/>
  <c r="K2" i="55"/>
  <c r="T26" i="54"/>
  <c r="S26" i="54"/>
  <c r="K2" i="54" s="1"/>
  <c r="M2" i="54" s="1"/>
  <c r="O2" i="54" s="1"/>
  <c r="R26" i="54"/>
  <c r="Q26" i="54"/>
  <c r="P26" i="54"/>
  <c r="P28" i="54" s="1"/>
  <c r="O26" i="54"/>
  <c r="N26" i="54"/>
  <c r="M26" i="54"/>
  <c r="L26" i="54"/>
  <c r="K26" i="54"/>
  <c r="J26" i="54"/>
  <c r="I26" i="54"/>
  <c r="H26" i="54"/>
  <c r="G26" i="54"/>
  <c r="F26" i="54"/>
  <c r="E26" i="54"/>
  <c r="D26" i="54"/>
  <c r="C26" i="54"/>
  <c r="B26" i="54"/>
  <c r="P28" i="53"/>
  <c r="T26" i="53"/>
  <c r="S26" i="53"/>
  <c r="K2" i="53" s="1"/>
  <c r="R26" i="53"/>
  <c r="Q26" i="53"/>
  <c r="P26" i="53"/>
  <c r="O26" i="53"/>
  <c r="N26" i="53"/>
  <c r="M26" i="53"/>
  <c r="L26" i="53"/>
  <c r="K26" i="53"/>
  <c r="J26" i="53"/>
  <c r="I26" i="53"/>
  <c r="H26" i="53"/>
  <c r="G26" i="53"/>
  <c r="F26" i="53"/>
  <c r="E26" i="53"/>
  <c r="D26" i="53"/>
  <c r="C26" i="53"/>
  <c r="B26" i="53"/>
  <c r="P28" i="52"/>
  <c r="T26" i="52"/>
  <c r="S26" i="52"/>
  <c r="K2" i="52" s="1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E26" i="52"/>
  <c r="D26" i="52"/>
  <c r="C26" i="52"/>
  <c r="B26" i="52"/>
  <c r="U2" i="87" l="1"/>
  <c r="O2" i="87"/>
  <c r="O2" i="84"/>
  <c r="U2" i="84"/>
  <c r="Q2" i="84"/>
  <c r="Q2" i="83"/>
  <c r="U2" i="83"/>
  <c r="O2" i="79"/>
  <c r="U2" i="79"/>
  <c r="U2" i="78"/>
  <c r="Q2" i="78"/>
  <c r="Q2" i="75"/>
  <c r="U2" i="75"/>
  <c r="Q2" i="73"/>
  <c r="U2" i="73"/>
  <c r="U2" i="72"/>
  <c r="O2" i="72"/>
  <c r="O2" i="71"/>
  <c r="U2" i="71"/>
  <c r="U2" i="70"/>
  <c r="Q2" i="70"/>
  <c r="O2" i="70"/>
  <c r="U2" i="69"/>
  <c r="Q2" i="69"/>
  <c r="Q2" i="66"/>
  <c r="O2" i="66"/>
  <c r="O2" i="60"/>
  <c r="U2" i="57"/>
  <c r="O2" i="57"/>
  <c r="Q2" i="56"/>
  <c r="U2" i="56"/>
  <c r="O2" i="56"/>
  <c r="Q2" i="55"/>
  <c r="U2" i="55"/>
  <c r="Q2" i="54"/>
  <c r="U2" i="54"/>
  <c r="M2" i="53"/>
  <c r="Q2" i="53" s="1"/>
  <c r="M2" i="52"/>
  <c r="O2" i="52" s="1"/>
  <c r="O2" i="53" l="1"/>
  <c r="U2" i="53"/>
  <c r="U2" i="52"/>
  <c r="Q2" i="52"/>
</calcChain>
</file>

<file path=xl/sharedStrings.xml><?xml version="1.0" encoding="utf-8"?>
<sst xmlns="http://schemas.openxmlformats.org/spreadsheetml/2006/main" count="1924" uniqueCount="772">
  <si>
    <t>moyenne</t>
  </si>
  <si>
    <t>PCI diesel (MJ/kg)</t>
  </si>
  <si>
    <t>PCI CH4 (MJ/kg)</t>
  </si>
  <si>
    <t>M CH4 (kg/mol)</t>
  </si>
  <si>
    <r>
      <t>ν CH4</t>
    </r>
    <r>
      <rPr>
        <b/>
        <sz val="9.35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(m3/mol)</t>
    </r>
  </si>
  <si>
    <t>ṁ CH4 (kg/h)</t>
  </si>
  <si>
    <t>% CH4 réel</t>
  </si>
  <si>
    <t>DES (%)</t>
  </si>
  <si>
    <t>η elec (%)</t>
  </si>
  <si>
    <t>Cp eau (MJ/m3.K)</t>
  </si>
  <si>
    <t>η therm (%)</t>
  </si>
  <si>
    <t>temps</t>
  </si>
  <si>
    <t>TE10(°C)</t>
  </si>
  <si>
    <t>TE02(°C)</t>
  </si>
  <si>
    <t>TE03(°C)</t>
  </si>
  <si>
    <t>FT05(kg/h)</t>
  </si>
  <si>
    <t>TT07(°C)</t>
  </si>
  <si>
    <t>FT07(l/min)</t>
  </si>
  <si>
    <t>FT08(ln/min)</t>
  </si>
  <si>
    <t>AT09(%CH4)</t>
  </si>
  <si>
    <t>JT11(kW)</t>
  </si>
  <si>
    <t>ET12(V)</t>
  </si>
  <si>
    <t>IT13(A)</t>
  </si>
  <si>
    <t>ST14(Hz)</t>
  </si>
  <si>
    <t>IT15(A)</t>
  </si>
  <si>
    <t>PT04(bar abs)</t>
  </si>
  <si>
    <t>Q CO2pd(ln/min)</t>
  </si>
  <si>
    <t>Q CO2gd(ln/min)</t>
  </si>
  <si>
    <t>Q CH4(ln/min)</t>
  </si>
  <si>
    <t>% vanne gaz</t>
  </si>
  <si>
    <t>PT16(bar abs)</t>
  </si>
  <si>
    <t>10:09:10.54</t>
  </si>
  <si>
    <t>10:09:11.54</t>
  </si>
  <si>
    <t>10:09:12.54</t>
  </si>
  <si>
    <t>10:09:13.54</t>
  </si>
  <si>
    <t>10:09:14.53</t>
  </si>
  <si>
    <t>10:09:15.53</t>
  </si>
  <si>
    <t>10:09:16.53</t>
  </si>
  <si>
    <t>10:09:17.53</t>
  </si>
  <si>
    <t>10:09:18.53</t>
  </si>
  <si>
    <t>10:09:19.53</t>
  </si>
  <si>
    <t>10:09:20.53</t>
  </si>
  <si>
    <t>10:09:21.53</t>
  </si>
  <si>
    <t>10:09:22.53</t>
  </si>
  <si>
    <t>10:09:23.53</t>
  </si>
  <si>
    <t>10:09:24.53</t>
  </si>
  <si>
    <t>10:09:25.54</t>
  </si>
  <si>
    <t>10:09:26.54</t>
  </si>
  <si>
    <t>10:09:27.54</t>
  </si>
  <si>
    <t>10:09:28.54</t>
  </si>
  <si>
    <t>10:09:29.54</t>
  </si>
  <si>
    <t>∆p (bar)</t>
  </si>
  <si>
    <t>10:10:20.24</t>
  </si>
  <si>
    <t>10:10:21.24</t>
  </si>
  <si>
    <t>10:10:22.24</t>
  </si>
  <si>
    <t>10:10:23.23</t>
  </si>
  <si>
    <t>10:10:24.23</t>
  </si>
  <si>
    <t>10:10:25.23</t>
  </si>
  <si>
    <t>10:10:26.23</t>
  </si>
  <si>
    <t>10:10:27.23</t>
  </si>
  <si>
    <t>10:10:28.23</t>
  </si>
  <si>
    <t>10:10:29.23</t>
  </si>
  <si>
    <t>10:10:30.23</t>
  </si>
  <si>
    <t>10:10:31.23</t>
  </si>
  <si>
    <t>10:10:32.23</t>
  </si>
  <si>
    <t>10:10:33.23</t>
  </si>
  <si>
    <t>10:10:34.23</t>
  </si>
  <si>
    <t>10:10:35.24</t>
  </si>
  <si>
    <t>10:10:36.24</t>
  </si>
  <si>
    <t>10:10:37.24</t>
  </si>
  <si>
    <t>10:10:38.24</t>
  </si>
  <si>
    <t>10:10:39.24</t>
  </si>
  <si>
    <t>10:11:48.34</t>
  </si>
  <si>
    <t>10:11:49.33</t>
  </si>
  <si>
    <t>10:11:50.33</t>
  </si>
  <si>
    <t>10:11:51.33</t>
  </si>
  <si>
    <t>10:11:52.33</t>
  </si>
  <si>
    <t>10:11:53.33</t>
  </si>
  <si>
    <t>10:11:54.33</t>
  </si>
  <si>
    <t>10:11:55.33</t>
  </si>
  <si>
    <t>10:11:56.33</t>
  </si>
  <si>
    <t>10:11:57.33</t>
  </si>
  <si>
    <t>10:11:58.33</t>
  </si>
  <si>
    <t>10:11:59.33</t>
  </si>
  <si>
    <t>10:12:00.33</t>
  </si>
  <si>
    <t>10:12:01.33</t>
  </si>
  <si>
    <t>10:12:02.34</t>
  </si>
  <si>
    <t>10:12:03.34</t>
  </si>
  <si>
    <t>10:12:04.34</t>
  </si>
  <si>
    <t>10:12:05.34</t>
  </si>
  <si>
    <t>10:12:06.33</t>
  </si>
  <si>
    <t>10:12:07.33</t>
  </si>
  <si>
    <t>10:15:57.93</t>
  </si>
  <si>
    <t>10:15:58.93</t>
  </si>
  <si>
    <t>10:15:59.93</t>
  </si>
  <si>
    <t>10:16:00.93</t>
  </si>
  <si>
    <t>10:16:01.93</t>
  </si>
  <si>
    <t>10:16:02.93</t>
  </si>
  <si>
    <t>10:16:03.93</t>
  </si>
  <si>
    <t>10:16:04.93</t>
  </si>
  <si>
    <t>10:16:05.93</t>
  </si>
  <si>
    <t>10:16:06.93</t>
  </si>
  <si>
    <t>10:16:07.93</t>
  </si>
  <si>
    <t>10:16:08.93</t>
  </si>
  <si>
    <t>10:16:09.93</t>
  </si>
  <si>
    <t>10:16:10.93</t>
  </si>
  <si>
    <t>10:16:11.93</t>
  </si>
  <si>
    <t>10:16:12.93</t>
  </si>
  <si>
    <t>10:16:13.93</t>
  </si>
  <si>
    <t>10:16:14.93</t>
  </si>
  <si>
    <t>10:16:15.93</t>
  </si>
  <si>
    <t>10:16:16.93</t>
  </si>
  <si>
    <t>10:19:59.23</t>
  </si>
  <si>
    <t>10:20:00.23</t>
  </si>
  <si>
    <t>10:20:01.23</t>
  </si>
  <si>
    <t>10:20:02.23</t>
  </si>
  <si>
    <t>10:20:03.23</t>
  </si>
  <si>
    <t>10:20:04.23</t>
  </si>
  <si>
    <t>10:20:05.23</t>
  </si>
  <si>
    <t>10:20:06.23</t>
  </si>
  <si>
    <t>10:20:07.23</t>
  </si>
  <si>
    <t>10:20:08.23</t>
  </si>
  <si>
    <t>10:20:09.23</t>
  </si>
  <si>
    <t>10:20:10.23</t>
  </si>
  <si>
    <t>10:20:11.23</t>
  </si>
  <si>
    <t>10:20:12.23</t>
  </si>
  <si>
    <t>10:20:13.23</t>
  </si>
  <si>
    <t>10:20:14.23</t>
  </si>
  <si>
    <t>10:20:15.23</t>
  </si>
  <si>
    <t>10:20:16.23</t>
  </si>
  <si>
    <t>10:20:17.23</t>
  </si>
  <si>
    <t>10:20:18.23</t>
  </si>
  <si>
    <t>10:22:04.13</t>
  </si>
  <si>
    <t>10:22:05.13</t>
  </si>
  <si>
    <t>10:22:06.13</t>
  </si>
  <si>
    <t>10:22:07.13</t>
  </si>
  <si>
    <t>10:22:08.13</t>
  </si>
  <si>
    <t>10:22:09.13</t>
  </si>
  <si>
    <t>10:22:10.13</t>
  </si>
  <si>
    <t>10:22:11.13</t>
  </si>
  <si>
    <t>10:22:12.13</t>
  </si>
  <si>
    <t>10:22:13.13</t>
  </si>
  <si>
    <t>10:22:14.13</t>
  </si>
  <si>
    <t>10:22:15.13</t>
  </si>
  <si>
    <t>10:22:16.13</t>
  </si>
  <si>
    <t>10:22:17.13</t>
  </si>
  <si>
    <t>10:22:18.13</t>
  </si>
  <si>
    <t>10:22:19.13</t>
  </si>
  <si>
    <t>10:22:20.13</t>
  </si>
  <si>
    <t>10:22:21.13</t>
  </si>
  <si>
    <t>10:22:22.13</t>
  </si>
  <si>
    <t>10:22:23.13</t>
  </si>
  <si>
    <t>10:23:15.23</t>
  </si>
  <si>
    <t>10:23:16.23</t>
  </si>
  <si>
    <t>10:23:17.23</t>
  </si>
  <si>
    <t>10:23:18.23</t>
  </si>
  <si>
    <t>10:23:19.23</t>
  </si>
  <si>
    <t>10:23:20.23</t>
  </si>
  <si>
    <t>10:23:21.23</t>
  </si>
  <si>
    <t>10:23:22.23</t>
  </si>
  <si>
    <t>10:23:23.23</t>
  </si>
  <si>
    <t>10:23:24.23</t>
  </si>
  <si>
    <t>10:23:25.23</t>
  </si>
  <si>
    <t>10:23:26.23</t>
  </si>
  <si>
    <t>10:23:27.23</t>
  </si>
  <si>
    <t>10:23:28.23</t>
  </si>
  <si>
    <t>10:23:29.23</t>
  </si>
  <si>
    <t>10:23:30.23</t>
  </si>
  <si>
    <t>10:23:31.23</t>
  </si>
  <si>
    <t>10:23:32.23</t>
  </si>
  <si>
    <t>10:23:33.23</t>
  </si>
  <si>
    <t>10:23:34.23</t>
  </si>
  <si>
    <t>10:25:14.03</t>
  </si>
  <si>
    <t>10:25:15.03</t>
  </si>
  <si>
    <t>10:25:16.03</t>
  </si>
  <si>
    <t>10:25:17.03</t>
  </si>
  <si>
    <t>10:25:18.03</t>
  </si>
  <si>
    <t>10:25:19.03</t>
  </si>
  <si>
    <t>10:25:20.03</t>
  </si>
  <si>
    <t>10:25:21.03</t>
  </si>
  <si>
    <t>10:25:22.03</t>
  </si>
  <si>
    <t>10:25:23.03</t>
  </si>
  <si>
    <t>10:25:24.03</t>
  </si>
  <si>
    <t>10:25:25.03</t>
  </si>
  <si>
    <t>10:25:26.03</t>
  </si>
  <si>
    <t>10:25:27.03</t>
  </si>
  <si>
    <t>10:25:28.03</t>
  </si>
  <si>
    <t>10:25:29.03</t>
  </si>
  <si>
    <t>10:25:30.03</t>
  </si>
  <si>
    <t>10:25:31.03</t>
  </si>
  <si>
    <t>10:25:32.03</t>
  </si>
  <si>
    <t>10:25:33.03</t>
  </si>
  <si>
    <t>10:28:31.03</t>
  </si>
  <si>
    <t>10:28:32.03</t>
  </si>
  <si>
    <t>10:28:33.03</t>
  </si>
  <si>
    <t>10:28:34.03</t>
  </si>
  <si>
    <t>10:28:35.03</t>
  </si>
  <si>
    <t>10:28:36.03</t>
  </si>
  <si>
    <t>10:28:37.03</t>
  </si>
  <si>
    <t>10:28:38.03</t>
  </si>
  <si>
    <t>10:28:39.03</t>
  </si>
  <si>
    <t>10:28:40.03</t>
  </si>
  <si>
    <t>10:28:41.03</t>
  </si>
  <si>
    <t>10:28:42.03</t>
  </si>
  <si>
    <t>10:28:43.03</t>
  </si>
  <si>
    <t>10:28:44.03</t>
  </si>
  <si>
    <t>10:28:45.03</t>
  </si>
  <si>
    <t>10:28:46.03</t>
  </si>
  <si>
    <t>10:28:47.03</t>
  </si>
  <si>
    <t>10:28:48.03</t>
  </si>
  <si>
    <t>10:28:49.03</t>
  </si>
  <si>
    <t>10:28:50.03</t>
  </si>
  <si>
    <t>10:29:32.43</t>
  </si>
  <si>
    <t>10:29:33.43</t>
  </si>
  <si>
    <t>10:29:34.43</t>
  </si>
  <si>
    <t>10:29:35.43</t>
  </si>
  <si>
    <t>10:29:36.43</t>
  </si>
  <si>
    <t>10:29:37.43</t>
  </si>
  <si>
    <t>10:29:38.43</t>
  </si>
  <si>
    <t>10:29:39.43</t>
  </si>
  <si>
    <t>10:29:40.43</t>
  </si>
  <si>
    <t>10:29:41.43</t>
  </si>
  <si>
    <t>10:29:42.43</t>
  </si>
  <si>
    <t>10:29:43.43</t>
  </si>
  <si>
    <t>10:29:44.43</t>
  </si>
  <si>
    <t>10:29:45.43</t>
  </si>
  <si>
    <t>10:29:46.43</t>
  </si>
  <si>
    <t>10:29:47.43</t>
  </si>
  <si>
    <t>10:29:48.43</t>
  </si>
  <si>
    <t>10:29:49.43</t>
  </si>
  <si>
    <t>10:29:50.43</t>
  </si>
  <si>
    <t>10:29:51.43</t>
  </si>
  <si>
    <t>10:30:28.83</t>
  </si>
  <si>
    <t>10:30:29.83</t>
  </si>
  <si>
    <t>10:30:30.83</t>
  </si>
  <si>
    <t>10:30:31.83</t>
  </si>
  <si>
    <t>10:30:32.83</t>
  </si>
  <si>
    <t>10:30:33.83</t>
  </si>
  <si>
    <t>10:30:34.83</t>
  </si>
  <si>
    <t>10:30:35.83</t>
  </si>
  <si>
    <t>10:30:36.83</t>
  </si>
  <si>
    <t>10:30:37.83</t>
  </si>
  <si>
    <t>10:30:38.83</t>
  </si>
  <si>
    <t>10:30:39.83</t>
  </si>
  <si>
    <t>10:30:40.83</t>
  </si>
  <si>
    <t>10:30:41.83</t>
  </si>
  <si>
    <t>10:30:42.83</t>
  </si>
  <si>
    <t>10:30:43.83</t>
  </si>
  <si>
    <t>10:30:44.83</t>
  </si>
  <si>
    <t>10:30:45.83</t>
  </si>
  <si>
    <t>10:30:46.83</t>
  </si>
  <si>
    <t>10:30:47.83</t>
  </si>
  <si>
    <t>10:31:40.43</t>
  </si>
  <si>
    <t>10:31:41.43</t>
  </si>
  <si>
    <t>10:31:42.43</t>
  </si>
  <si>
    <t>10:31:43.43</t>
  </si>
  <si>
    <t>10:31:44.43</t>
  </si>
  <si>
    <t>10:31:45.43</t>
  </si>
  <si>
    <t>10:31:46.43</t>
  </si>
  <si>
    <t>10:31:47.43</t>
  </si>
  <si>
    <t>10:31:48.43</t>
  </si>
  <si>
    <t>10:31:49.43</t>
  </si>
  <si>
    <t>10:31:50.43</t>
  </si>
  <si>
    <t>10:31:51.43</t>
  </si>
  <si>
    <t>10:31:52.43</t>
  </si>
  <si>
    <t>10:31:53.43</t>
  </si>
  <si>
    <t>10:31:54.43</t>
  </si>
  <si>
    <t>10:31:55.43</t>
  </si>
  <si>
    <t>10:31:56.43</t>
  </si>
  <si>
    <t>10:31:57.43</t>
  </si>
  <si>
    <t>10:31:58.43</t>
  </si>
  <si>
    <t>10:31:59.43</t>
  </si>
  <si>
    <t>10:33:04.73</t>
  </si>
  <si>
    <t>10:33:05.73</t>
  </si>
  <si>
    <t>10:33:06.73</t>
  </si>
  <si>
    <t>10:33:07.73</t>
  </si>
  <si>
    <t>10:33:08.73</t>
  </si>
  <si>
    <t>10:33:09.73</t>
  </si>
  <si>
    <t>10:33:10.73</t>
  </si>
  <si>
    <t>10:33:11.73</t>
  </si>
  <si>
    <t>10:33:12.73</t>
  </si>
  <si>
    <t>10:33:13.73</t>
  </si>
  <si>
    <t>10:33:14.73</t>
  </si>
  <si>
    <t>10:33:15.73</t>
  </si>
  <si>
    <t>10:33:16.73</t>
  </si>
  <si>
    <t>10:33:17.73</t>
  </si>
  <si>
    <t>10:33:18.73</t>
  </si>
  <si>
    <t>10:33:19.73</t>
  </si>
  <si>
    <t>10:33:20.73</t>
  </si>
  <si>
    <t>10:33:21.73</t>
  </si>
  <si>
    <t>10:33:22.73</t>
  </si>
  <si>
    <t>10:33:23.73</t>
  </si>
  <si>
    <t>10:34:43.43</t>
  </si>
  <si>
    <t>10:34:44.43</t>
  </si>
  <si>
    <t>10:34:45.43</t>
  </si>
  <si>
    <t>10:34:46.43</t>
  </si>
  <si>
    <t>10:34:47.43</t>
  </si>
  <si>
    <t>10:34:48.43</t>
  </si>
  <si>
    <t>10:34:49.43</t>
  </si>
  <si>
    <t>10:34:50.43</t>
  </si>
  <si>
    <t>10:34:51.43</t>
  </si>
  <si>
    <t>10:34:52.43</t>
  </si>
  <si>
    <t>10:34:53.43</t>
  </si>
  <si>
    <t>10:34:54.43</t>
  </si>
  <si>
    <t>10:34:55.43</t>
  </si>
  <si>
    <t>10:34:56.43</t>
  </si>
  <si>
    <t>10:34:57.43</t>
  </si>
  <si>
    <t>10:34:58.43</t>
  </si>
  <si>
    <t>10:34:59.43</t>
  </si>
  <si>
    <t>10:35:00.43</t>
  </si>
  <si>
    <t>10:35:01.43</t>
  </si>
  <si>
    <t>10:35:02.43</t>
  </si>
  <si>
    <t>10:35:45.03</t>
  </si>
  <si>
    <t>10:35:46.03</t>
  </si>
  <si>
    <t>10:35:47.03</t>
  </si>
  <si>
    <t>10:35:48.03</t>
  </si>
  <si>
    <t>10:35:49.03</t>
  </si>
  <si>
    <t>10:35:50.03</t>
  </si>
  <si>
    <t>10:35:51.03</t>
  </si>
  <si>
    <t>10:35:52.03</t>
  </si>
  <si>
    <t>10:35:53.03</t>
  </si>
  <si>
    <t>10:35:54.03</t>
  </si>
  <si>
    <t>10:35:55.03</t>
  </si>
  <si>
    <t>10:35:56.03</t>
  </si>
  <si>
    <t>10:35:57.03</t>
  </si>
  <si>
    <t>10:35:58.03</t>
  </si>
  <si>
    <t>10:35:59.03</t>
  </si>
  <si>
    <t>10:36:00.03</t>
  </si>
  <si>
    <t>10:36:01.03</t>
  </si>
  <si>
    <t>10:36:02.03</t>
  </si>
  <si>
    <t>10:36:03.03</t>
  </si>
  <si>
    <t>10:36:04.03</t>
  </si>
  <si>
    <t>10:38:25.23</t>
  </si>
  <si>
    <t>10:38:26.23</t>
  </si>
  <si>
    <t>10:38:27.23</t>
  </si>
  <si>
    <t>10:38:28.23</t>
  </si>
  <si>
    <t>10:38:29.23</t>
  </si>
  <si>
    <t>10:38:30.23</t>
  </si>
  <si>
    <t>10:38:31.23</t>
  </si>
  <si>
    <t>10:38:32.23</t>
  </si>
  <si>
    <t>10:38:33.23</t>
  </si>
  <si>
    <t>10:38:34.23</t>
  </si>
  <si>
    <t>10:38:35.23</t>
  </si>
  <si>
    <t>10:38:36.23</t>
  </si>
  <si>
    <t>10:38:37.23</t>
  </si>
  <si>
    <t>10:38:38.23</t>
  </si>
  <si>
    <t>10:38:39.23</t>
  </si>
  <si>
    <t>10:38:40.23</t>
  </si>
  <si>
    <t>10:38:41.23</t>
  </si>
  <si>
    <t>10:38:42.23</t>
  </si>
  <si>
    <t>10:38:43.23</t>
  </si>
  <si>
    <t>10:38:44.23</t>
  </si>
  <si>
    <t>10:40:53.93</t>
  </si>
  <si>
    <t>10:40:54.93</t>
  </si>
  <si>
    <t>10:40:55.93</t>
  </si>
  <si>
    <t>10:40:56.93</t>
  </si>
  <si>
    <t>10:40:57.93</t>
  </si>
  <si>
    <t>10:40:58.93</t>
  </si>
  <si>
    <t>10:40:59.93</t>
  </si>
  <si>
    <t>10:41:00.93</t>
  </si>
  <si>
    <t>10:41:01.93</t>
  </si>
  <si>
    <t>10:41:02.93</t>
  </si>
  <si>
    <t>10:41:03.93</t>
  </si>
  <si>
    <t>10:41:04.93</t>
  </si>
  <si>
    <t>10:41:05.93</t>
  </si>
  <si>
    <t>10:41:06.93</t>
  </si>
  <si>
    <t>10:41:07.93</t>
  </si>
  <si>
    <t>10:41:08.93</t>
  </si>
  <si>
    <t>10:41:09.93</t>
  </si>
  <si>
    <t>10:41:10.93</t>
  </si>
  <si>
    <t>10:41:11.93</t>
  </si>
  <si>
    <t>10:41:12.93</t>
  </si>
  <si>
    <t>10:42:10.73</t>
  </si>
  <si>
    <t>10:42:11.73</t>
  </si>
  <si>
    <t>10:42:12.73</t>
  </si>
  <si>
    <t>10:42:13.73</t>
  </si>
  <si>
    <t>10:42:14.73</t>
  </si>
  <si>
    <t>10:42:15.73</t>
  </si>
  <si>
    <t>10:42:16.73</t>
  </si>
  <si>
    <t>10:42:17.73</t>
  </si>
  <si>
    <t>10:42:18.73</t>
  </si>
  <si>
    <t>10:42:19.73</t>
  </si>
  <si>
    <t>10:42:20.73</t>
  </si>
  <si>
    <t>10:42:21.73</t>
  </si>
  <si>
    <t>10:42:22.73</t>
  </si>
  <si>
    <t>10:42:23.73</t>
  </si>
  <si>
    <t>10:42:24.73</t>
  </si>
  <si>
    <t>10:42:25.73</t>
  </si>
  <si>
    <t>10:42:26.73</t>
  </si>
  <si>
    <t>10:42:27.73</t>
  </si>
  <si>
    <t>10:42:28.73</t>
  </si>
  <si>
    <t>10:42:29.73</t>
  </si>
  <si>
    <t>10:49:45.03</t>
  </si>
  <si>
    <t>10:49:46.03</t>
  </si>
  <si>
    <t>10:49:47.03</t>
  </si>
  <si>
    <t>10:49:48.03</t>
  </si>
  <si>
    <t>10:49:49.03</t>
  </si>
  <si>
    <t>10:49:50.03</t>
  </si>
  <si>
    <t>10:49:51.03</t>
  </si>
  <si>
    <t>10:49:52.03</t>
  </si>
  <si>
    <t>10:49:53.03</t>
  </si>
  <si>
    <t>10:49:54.03</t>
  </si>
  <si>
    <t>10:49:55.03</t>
  </si>
  <si>
    <t>10:49:56.03</t>
  </si>
  <si>
    <t>10:49:57.03</t>
  </si>
  <si>
    <t>10:49:58.03</t>
  </si>
  <si>
    <t>10:49:59.03</t>
  </si>
  <si>
    <t>10:50:00.03</t>
  </si>
  <si>
    <t>10:50:01.03</t>
  </si>
  <si>
    <t>10:50:02.03</t>
  </si>
  <si>
    <t>10:50:03.03</t>
  </si>
  <si>
    <t>10:50:04.03</t>
  </si>
  <si>
    <t>10:50:50.23</t>
  </si>
  <si>
    <t>10:50:51.23</t>
  </si>
  <si>
    <t>10:50:52.23</t>
  </si>
  <si>
    <t>10:50:53.23</t>
  </si>
  <si>
    <t>10:50:54.23</t>
  </si>
  <si>
    <t>10:50:55.23</t>
  </si>
  <si>
    <t>10:50:56.23</t>
  </si>
  <si>
    <t>10:50:57.23</t>
  </si>
  <si>
    <t>10:50:58.23</t>
  </si>
  <si>
    <t>10:50:59.23</t>
  </si>
  <si>
    <t>10:51:00.23</t>
  </si>
  <si>
    <t>10:51:01.23</t>
  </si>
  <si>
    <t>10:51:02.23</t>
  </si>
  <si>
    <t>10:51:03.23</t>
  </si>
  <si>
    <t>10:51:04.23</t>
  </si>
  <si>
    <t>10:51:05.23</t>
  </si>
  <si>
    <t>10:51:06.23</t>
  </si>
  <si>
    <t>10:51:07.23</t>
  </si>
  <si>
    <t>10:51:08.23</t>
  </si>
  <si>
    <t>10:51:09.23</t>
  </si>
  <si>
    <t>10:52:21.53</t>
  </si>
  <si>
    <t>10:52:22.53</t>
  </si>
  <si>
    <t>10:52:23.53</t>
  </si>
  <si>
    <t>10:52:24.53</t>
  </si>
  <si>
    <t>10:52:25.53</t>
  </si>
  <si>
    <t>10:52:26.53</t>
  </si>
  <si>
    <t>10:52:27.53</t>
  </si>
  <si>
    <t>10:52:28.53</t>
  </si>
  <si>
    <t>10:52:29.53</t>
  </si>
  <si>
    <t>10:52:30.53</t>
  </si>
  <si>
    <t>10:52:31.53</t>
  </si>
  <si>
    <t>10:52:32.53</t>
  </si>
  <si>
    <t>10:52:33.53</t>
  </si>
  <si>
    <t>10:52:34.53</t>
  </si>
  <si>
    <t>10:52:35.53</t>
  </si>
  <si>
    <t>10:52:36.53</t>
  </si>
  <si>
    <t>10:52:37.53</t>
  </si>
  <si>
    <t>10:52:38.53</t>
  </si>
  <si>
    <t>10:52:39.53</t>
  </si>
  <si>
    <t>10:52:40.53</t>
  </si>
  <si>
    <t>10:53:54.53</t>
  </si>
  <si>
    <t>10:53:55.53</t>
  </si>
  <si>
    <t>10:53:56.53</t>
  </si>
  <si>
    <t>10:53:57.53</t>
  </si>
  <si>
    <t>10:53:58.53</t>
  </si>
  <si>
    <t>10:53:59.53</t>
  </si>
  <si>
    <t>10:54:00.53</t>
  </si>
  <si>
    <t>10:54:01.53</t>
  </si>
  <si>
    <t>10:54:02.53</t>
  </si>
  <si>
    <t>10:54:03.53</t>
  </si>
  <si>
    <t>10:54:04.53</t>
  </si>
  <si>
    <t>10:54:05.53</t>
  </si>
  <si>
    <t>10:54:06.53</t>
  </si>
  <si>
    <t>10:54:07.53</t>
  </si>
  <si>
    <t>10:54:08.53</t>
  </si>
  <si>
    <t>10:54:09.53</t>
  </si>
  <si>
    <t>10:54:10.53</t>
  </si>
  <si>
    <t>10:54:11.53</t>
  </si>
  <si>
    <t>10:54:12.53</t>
  </si>
  <si>
    <t>10:54:13.53</t>
  </si>
  <si>
    <t>10:59:39.83</t>
  </si>
  <si>
    <t>10:59:40.83</t>
  </si>
  <si>
    <t>10:59:41.83</t>
  </si>
  <si>
    <t>10:59:42.83</t>
  </si>
  <si>
    <t>10:59:43.83</t>
  </si>
  <si>
    <t>10:59:44.83</t>
  </si>
  <si>
    <t>10:59:45.83</t>
  </si>
  <si>
    <t>10:59:46.83</t>
  </si>
  <si>
    <t>10:59:47.83</t>
  </si>
  <si>
    <t>10:59:48.83</t>
  </si>
  <si>
    <t>10:59:49.83</t>
  </si>
  <si>
    <t>10:59:50.83</t>
  </si>
  <si>
    <t>10:59:51.83</t>
  </si>
  <si>
    <t>10:59:52.83</t>
  </si>
  <si>
    <t>10:59:53.83</t>
  </si>
  <si>
    <t>10:59:54.83</t>
  </si>
  <si>
    <t>10:59:55.83</t>
  </si>
  <si>
    <t>10:59:56.83</t>
  </si>
  <si>
    <t>10:59:57.83</t>
  </si>
  <si>
    <t>10:59:58.83</t>
  </si>
  <si>
    <t>11:02:03.43</t>
  </si>
  <si>
    <t>11:02:04.43</t>
  </si>
  <si>
    <t>11:02:05.43</t>
  </si>
  <si>
    <t>11:02:06.43</t>
  </si>
  <si>
    <t>11:02:07.43</t>
  </si>
  <si>
    <t>11:02:08.43</t>
  </si>
  <si>
    <t>11:02:09.43</t>
  </si>
  <si>
    <t>11:02:10.43</t>
  </si>
  <si>
    <t>11:02:11.43</t>
  </si>
  <si>
    <t>11:02:12.43</t>
  </si>
  <si>
    <t>11:02:13.43</t>
  </si>
  <si>
    <t>11:02:14.43</t>
  </si>
  <si>
    <t>11:02:15.43</t>
  </si>
  <si>
    <t>11:02:16.43</t>
  </si>
  <si>
    <t>11:02:17.43</t>
  </si>
  <si>
    <t>11:02:18.43</t>
  </si>
  <si>
    <t>11:02:19.43</t>
  </si>
  <si>
    <t>11:02:20.43</t>
  </si>
  <si>
    <t>11:02:21.43</t>
  </si>
  <si>
    <t>11:02:22.43</t>
  </si>
  <si>
    <t>11:04:20.83</t>
  </si>
  <si>
    <t>11:04:21.83</t>
  </si>
  <si>
    <t>11:04:22.83</t>
  </si>
  <si>
    <t>11:04:23.83</t>
  </si>
  <si>
    <t>11:04:24.83</t>
  </si>
  <si>
    <t>11:04:25.83</t>
  </si>
  <si>
    <t>11:04:26.83</t>
  </si>
  <si>
    <t>11:04:27.83</t>
  </si>
  <si>
    <t>11:04:28.83</t>
  </si>
  <si>
    <t>11:04:29.83</t>
  </si>
  <si>
    <t>11:04:30.83</t>
  </si>
  <si>
    <t>11:04:31.83</t>
  </si>
  <si>
    <t>11:04:32.83</t>
  </si>
  <si>
    <t>11:04:33.83</t>
  </si>
  <si>
    <t>11:04:34.83</t>
  </si>
  <si>
    <t>11:04:35.83</t>
  </si>
  <si>
    <t>11:04:36.83</t>
  </si>
  <si>
    <t>11:04:37.83</t>
  </si>
  <si>
    <t>11:04:38.83</t>
  </si>
  <si>
    <t>11:04:39.83</t>
  </si>
  <si>
    <t>11:08:38.03</t>
  </si>
  <si>
    <t>11:08:39.03</t>
  </si>
  <si>
    <t>11:08:40.03</t>
  </si>
  <si>
    <t>11:08:41.03</t>
  </si>
  <si>
    <t>11:08:42.03</t>
  </si>
  <si>
    <t>11:08:43.03</t>
  </si>
  <si>
    <t>11:08:44.03</t>
  </si>
  <si>
    <t>11:08:45.03</t>
  </si>
  <si>
    <t>11:08:46.03</t>
  </si>
  <si>
    <t>11:08:47.03</t>
  </si>
  <si>
    <t>11:08:48.03</t>
  </si>
  <si>
    <t>11:08:49.03</t>
  </si>
  <si>
    <t>11:08:50.03</t>
  </si>
  <si>
    <t>11:08:51.03</t>
  </si>
  <si>
    <t>11:08:52.03</t>
  </si>
  <si>
    <t>11:08:53.03</t>
  </si>
  <si>
    <t>11:08:54.03</t>
  </si>
  <si>
    <t>11:08:55.03</t>
  </si>
  <si>
    <t>11:08:56.03</t>
  </si>
  <si>
    <t>11:08:57.03</t>
  </si>
  <si>
    <t>11:13:52.13</t>
  </si>
  <si>
    <t>11:13:53.13</t>
  </si>
  <si>
    <t>11:13:54.13</t>
  </si>
  <si>
    <t>11:13:55.13</t>
  </si>
  <si>
    <t>11:13:56.13</t>
  </si>
  <si>
    <t>11:13:57.13</t>
  </si>
  <si>
    <t>11:13:58.13</t>
  </si>
  <si>
    <t>11:13:59.13</t>
  </si>
  <si>
    <t>11:14:00.13</t>
  </si>
  <si>
    <t>11:14:01.13</t>
  </si>
  <si>
    <t>11:14:02.13</t>
  </si>
  <si>
    <t>11:14:03.13</t>
  </si>
  <si>
    <t>11:14:04.13</t>
  </si>
  <si>
    <t>11:14:05.13</t>
  </si>
  <si>
    <t>11:14:06.13</t>
  </si>
  <si>
    <t>11:14:07.13</t>
  </si>
  <si>
    <t>11:14:08.13</t>
  </si>
  <si>
    <t>11:14:09.13</t>
  </si>
  <si>
    <t>11:14:10.13</t>
  </si>
  <si>
    <t>11:14:11.13</t>
  </si>
  <si>
    <t>11:14:44.83</t>
  </si>
  <si>
    <t>11:14:45.83</t>
  </si>
  <si>
    <t>11:14:46.83</t>
  </si>
  <si>
    <t>11:14:47.83</t>
  </si>
  <si>
    <t>11:14:48.83</t>
  </si>
  <si>
    <t>11:14:49.83</t>
  </si>
  <si>
    <t>11:14:50.83</t>
  </si>
  <si>
    <t>11:14:51.83</t>
  </si>
  <si>
    <t>11:14:52.83</t>
  </si>
  <si>
    <t>11:14:53.83</t>
  </si>
  <si>
    <t>11:14:54.83</t>
  </si>
  <si>
    <t>11:14:55.83</t>
  </si>
  <si>
    <t>11:14:56.83</t>
  </si>
  <si>
    <t>11:14:57.83</t>
  </si>
  <si>
    <t>11:14:58.83</t>
  </si>
  <si>
    <t>11:14:59.83</t>
  </si>
  <si>
    <t>11:15:00.83</t>
  </si>
  <si>
    <t>11:15:01.83</t>
  </si>
  <si>
    <t>11:15:02.83</t>
  </si>
  <si>
    <t>11:15:03.83</t>
  </si>
  <si>
    <t>11:22:32.43</t>
  </si>
  <si>
    <t>11:22:33.43</t>
  </si>
  <si>
    <t>11:22:34.43</t>
  </si>
  <si>
    <t>11:22:35.43</t>
  </si>
  <si>
    <t>11:22:36.43</t>
  </si>
  <si>
    <t>11:22:37.43</t>
  </si>
  <si>
    <t>11:22:38.43</t>
  </si>
  <si>
    <t>11:22:39.43</t>
  </si>
  <si>
    <t>11:22:40.43</t>
  </si>
  <si>
    <t>11:22:41.43</t>
  </si>
  <si>
    <t>11:22:42.43</t>
  </si>
  <si>
    <t>11:22:43.43</t>
  </si>
  <si>
    <t>11:22:44.43</t>
  </si>
  <si>
    <t>11:22:45.43</t>
  </si>
  <si>
    <t>11:22:46.43</t>
  </si>
  <si>
    <t>11:22:47.43</t>
  </si>
  <si>
    <t>11:22:48.43</t>
  </si>
  <si>
    <t>11:22:49.43</t>
  </si>
  <si>
    <t>11:22:50.43</t>
  </si>
  <si>
    <t>11:22:51.43</t>
  </si>
  <si>
    <t>11:23:26.93</t>
  </si>
  <si>
    <t>11:23:27.93</t>
  </si>
  <si>
    <t>11:23:28.93</t>
  </si>
  <si>
    <t>11:23:29.93</t>
  </si>
  <si>
    <t>11:23:30.93</t>
  </si>
  <si>
    <t>11:23:31.93</t>
  </si>
  <si>
    <t>11:23:32.93</t>
  </si>
  <si>
    <t>11:23:33.93</t>
  </si>
  <si>
    <t>11:23:34.93</t>
  </si>
  <si>
    <t>11:23:35.93</t>
  </si>
  <si>
    <t>11:23:36.93</t>
  </si>
  <si>
    <t>11:23:37.93</t>
  </si>
  <si>
    <t>11:23:38.93</t>
  </si>
  <si>
    <t>11:23:39.93</t>
  </si>
  <si>
    <t>11:23:40.93</t>
  </si>
  <si>
    <t>11:23:41.93</t>
  </si>
  <si>
    <t>11:23:42.93</t>
  </si>
  <si>
    <t>11:23:43.93</t>
  </si>
  <si>
    <t>11:23:44.93</t>
  </si>
  <si>
    <t>11:23:45.93</t>
  </si>
  <si>
    <t>11:25:23.43</t>
  </si>
  <si>
    <t>11:25:24.43</t>
  </si>
  <si>
    <t>11:25:25.43</t>
  </si>
  <si>
    <t>11:25:26.43</t>
  </si>
  <si>
    <t>11:25:27.43</t>
  </si>
  <si>
    <t>11:25:28.43</t>
  </si>
  <si>
    <t>11:25:29.43</t>
  </si>
  <si>
    <t>11:25:30.43</t>
  </si>
  <si>
    <t>11:25:31.43</t>
  </si>
  <si>
    <t>11:25:32.43</t>
  </si>
  <si>
    <t>11:25:33.43</t>
  </si>
  <si>
    <t>11:25:34.43</t>
  </si>
  <si>
    <t>11:25:35.43</t>
  </si>
  <si>
    <t>11:25:36.43</t>
  </si>
  <si>
    <t>11:25:37.43</t>
  </si>
  <si>
    <t>11:25:38.43</t>
  </si>
  <si>
    <t>11:25:39.43</t>
  </si>
  <si>
    <t>11:25:40.43</t>
  </si>
  <si>
    <t>11:25:41.43</t>
  </si>
  <si>
    <t>11:25:42.43</t>
  </si>
  <si>
    <t>11:30:55.63</t>
  </si>
  <si>
    <t>11:30:56.63</t>
  </si>
  <si>
    <t>11:30:57.63</t>
  </si>
  <si>
    <t>11:30:58.63</t>
  </si>
  <si>
    <t>11:30:59.63</t>
  </si>
  <si>
    <t>11:31:00.63</t>
  </si>
  <si>
    <t>11:31:01.63</t>
  </si>
  <si>
    <t>11:31:02.63</t>
  </si>
  <si>
    <t>11:31:03.63</t>
  </si>
  <si>
    <t>11:31:04.63</t>
  </si>
  <si>
    <t>11:31:05.63</t>
  </si>
  <si>
    <t>11:31:06.63</t>
  </si>
  <si>
    <t>11:31:07.63</t>
  </si>
  <si>
    <t>11:31:08.63</t>
  </si>
  <si>
    <t>11:31:09.63</t>
  </si>
  <si>
    <t>11:31:10.63</t>
  </si>
  <si>
    <t>11:31:11.63</t>
  </si>
  <si>
    <t>11:31:12.63</t>
  </si>
  <si>
    <t>11:31:13.63</t>
  </si>
  <si>
    <t>11:31:14.63</t>
  </si>
  <si>
    <t>11:37:03.53</t>
  </si>
  <si>
    <t>11:37:04.53</t>
  </si>
  <si>
    <t>11:37:05.53</t>
  </si>
  <si>
    <t>11:37:06.53</t>
  </si>
  <si>
    <t>11:37:07.53</t>
  </si>
  <si>
    <t>11:37:08.53</t>
  </si>
  <si>
    <t>11:37:09.53</t>
  </si>
  <si>
    <t>11:37:10.53</t>
  </si>
  <si>
    <t>11:37:11.53</t>
  </si>
  <si>
    <t>11:37:12.53</t>
  </si>
  <si>
    <t>11:37:13.53</t>
  </si>
  <si>
    <t>11:37:14.53</t>
  </si>
  <si>
    <t>11:37:15.53</t>
  </si>
  <si>
    <t>11:37:16.53</t>
  </si>
  <si>
    <t>11:37:17.53</t>
  </si>
  <si>
    <t>11:37:18.53</t>
  </si>
  <si>
    <t>11:37:19.53</t>
  </si>
  <si>
    <t>11:37:20.53</t>
  </si>
  <si>
    <t>11:37:21.53</t>
  </si>
  <si>
    <t>11:37:22.53</t>
  </si>
  <si>
    <t>11:41:31.33</t>
  </si>
  <si>
    <t>11:41:32.33</t>
  </si>
  <si>
    <t>11:41:33.33</t>
  </si>
  <si>
    <t>11:41:34.33</t>
  </si>
  <si>
    <t>11:41:35.33</t>
  </si>
  <si>
    <t>11:41:36.33</t>
  </si>
  <si>
    <t>11:41:37.33</t>
  </si>
  <si>
    <t>11:41:38.33</t>
  </si>
  <si>
    <t>11:41:39.33</t>
  </si>
  <si>
    <t>11:41:40.33</t>
  </si>
  <si>
    <t>11:41:41.33</t>
  </si>
  <si>
    <t>11:41:42.33</t>
  </si>
  <si>
    <t>11:41:43.33</t>
  </si>
  <si>
    <t>11:41:44.33</t>
  </si>
  <si>
    <t>11:41:45.33</t>
  </si>
  <si>
    <t>11:41:46.33</t>
  </si>
  <si>
    <t>11:41:47.33</t>
  </si>
  <si>
    <t>11:41:48.33</t>
  </si>
  <si>
    <t>11:41:49.33</t>
  </si>
  <si>
    <t>11:41:50.33</t>
  </si>
  <si>
    <t>11:44:11.73</t>
  </si>
  <si>
    <t>11:44:12.73</t>
  </si>
  <si>
    <t>11:44:13.73</t>
  </si>
  <si>
    <t>11:44:14.73</t>
  </si>
  <si>
    <t>11:44:15.73</t>
  </si>
  <si>
    <t>11:44:16.73</t>
  </si>
  <si>
    <t>11:44:17.73</t>
  </si>
  <si>
    <t>11:44:18.73</t>
  </si>
  <si>
    <t>11:44:19.73</t>
  </si>
  <si>
    <t>11:44:20.73</t>
  </si>
  <si>
    <t>11:44:21.73</t>
  </si>
  <si>
    <t>11:44:22.73</t>
  </si>
  <si>
    <t>11:44:23.73</t>
  </si>
  <si>
    <t>11:44:24.73</t>
  </si>
  <si>
    <t>11:44:25.73</t>
  </si>
  <si>
    <t>11:44:26.73</t>
  </si>
  <si>
    <t>11:44:27.73</t>
  </si>
  <si>
    <t>11:44:28.73</t>
  </si>
  <si>
    <t>11:44:29.73</t>
  </si>
  <si>
    <t>11:44:30.73</t>
  </si>
  <si>
    <t>11:45:07.43</t>
  </si>
  <si>
    <t>11:45:08.43</t>
  </si>
  <si>
    <t>11:45:09.43</t>
  </si>
  <si>
    <t>11:45:10.43</t>
  </si>
  <si>
    <t>11:45:11.43</t>
  </si>
  <si>
    <t>11:45:12.43</t>
  </si>
  <si>
    <t>11:45:13.43</t>
  </si>
  <si>
    <t>11:45:14.43</t>
  </si>
  <si>
    <t>11:45:15.43</t>
  </si>
  <si>
    <t>11:45:16.43</t>
  </si>
  <si>
    <t>11:45:17.43</t>
  </si>
  <si>
    <t>11:45:18.43</t>
  </si>
  <si>
    <t>11:45:19.43</t>
  </si>
  <si>
    <t>11:45:20.43</t>
  </si>
  <si>
    <t>11:45:21.43</t>
  </si>
  <si>
    <t>11:45:22.43</t>
  </si>
  <si>
    <t>11:45:23.43</t>
  </si>
  <si>
    <t>11:45:24.43</t>
  </si>
  <si>
    <t>11:45:25.43</t>
  </si>
  <si>
    <t>11:45:26.43</t>
  </si>
  <si>
    <t>11:51:36.13</t>
  </si>
  <si>
    <t>11:51:37.13</t>
  </si>
  <si>
    <t>11:51:38.13</t>
  </si>
  <si>
    <t>11:51:39.13</t>
  </si>
  <si>
    <t>11:51:40.13</t>
  </si>
  <si>
    <t>11:51:41.13</t>
  </si>
  <si>
    <t>11:51:42.13</t>
  </si>
  <si>
    <t>11:51:43.13</t>
  </si>
  <si>
    <t>11:51:44.13</t>
  </si>
  <si>
    <t>11:51:45.13</t>
  </si>
  <si>
    <t>11:51:46.13</t>
  </si>
  <si>
    <t>11:51:47.13</t>
  </si>
  <si>
    <t>11:51:48.13</t>
  </si>
  <si>
    <t>11:51:49.13</t>
  </si>
  <si>
    <t>11:51:50.13</t>
  </si>
  <si>
    <t>11:51:51.13</t>
  </si>
  <si>
    <t>11:51:52.13</t>
  </si>
  <si>
    <t>11:51:53.13</t>
  </si>
  <si>
    <t>11:51:54.13</t>
  </si>
  <si>
    <t>11:51:55.13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</si>
</sst>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.35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2" fillId="0" borderId="0" xfId="0" applyFont="1"/>
    <xf numFmtId="21" fontId="0" fillId="0" borderId="0" xfId="0" applyNumberFormat="1"/>
    <xf numFmtId="0" fontId="0" fillId="3" borderId="1" xfId="0" applyFill="1" applyBorder="1"/>
    <xf numFmtId="0" fontId="4" fillId="3" borderId="1" xfId="0" applyFont="1" applyFill="1" applyBorder="1"/>
    <xf numFmtId="0" fontId="0" fillId="2" borderId="1" xfId="0" applyFill="1" applyBorder="1"/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47BC-A32A-4822-9B94-6AD2F8EC78C0}">
  <dimension ref="A1:U28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0" sqref="M30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0.42302083333333335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70.022488580158551</v>
      </c>
      <c r="M2" s="8">
        <f>(H26*0.001*60)*(K2/100)*(G2/I2)</f>
        <v>1.7706826764368397</v>
      </c>
      <c r="O2" s="9">
        <f>100*((E26*C2)/((E26*C2)+(M2*E2)))</f>
        <v>13.49862202247655</v>
      </c>
      <c r="Q2" s="10">
        <f>100*J26*(1/(((C2/3.6)*E26)+((E2/3.6)*M2)))</f>
        <v>6.151660140631128E-3</v>
      </c>
      <c r="S2" s="6">
        <v>3.54</v>
      </c>
      <c r="U2" s="10">
        <f>100*((((G26*0.001*60)*(C26-D26)*(S2/3.6)))/(((C2/3.6)*E26)+((E2/3.6)*M2)))</f>
        <v>10.711600532314376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31</v>
      </c>
      <c r="B6">
        <v>147.363</v>
      </c>
      <c r="C6">
        <v>100</v>
      </c>
      <c r="D6">
        <v>5.0030000000000001</v>
      </c>
      <c r="E6">
        <v>0.32600000000000001</v>
      </c>
      <c r="F6">
        <v>74.685000000000002</v>
      </c>
      <c r="G6">
        <v>1.1279999999999999</v>
      </c>
      <c r="H6">
        <v>59.063000000000002</v>
      </c>
      <c r="I6">
        <v>49.646999999999998</v>
      </c>
      <c r="J6">
        <v>1E-3</v>
      </c>
      <c r="K6">
        <v>230.339</v>
      </c>
      <c r="L6">
        <v>9.9000000000000005E-2</v>
      </c>
      <c r="M6">
        <v>52.927999999999997</v>
      </c>
      <c r="N6">
        <v>0</v>
      </c>
      <c r="O6">
        <v>0.86799999999999999</v>
      </c>
      <c r="P6">
        <v>2.1749999999999998</v>
      </c>
      <c r="Q6">
        <v>0</v>
      </c>
      <c r="R6">
        <v>16.649999999999999</v>
      </c>
      <c r="S6">
        <v>38.9</v>
      </c>
      <c r="T6">
        <v>19.2</v>
      </c>
    </row>
    <row r="7" spans="1:21" x14ac:dyDescent="0.3">
      <c r="A7" t="s">
        <v>32</v>
      </c>
      <c r="B7">
        <v>147.535</v>
      </c>
      <c r="C7">
        <v>100</v>
      </c>
      <c r="D7">
        <v>5.0620000000000003</v>
      </c>
      <c r="E7">
        <v>0.32800000000000001</v>
      </c>
      <c r="F7">
        <v>74.188999999999993</v>
      </c>
      <c r="G7">
        <v>0.93899999999999995</v>
      </c>
      <c r="H7">
        <v>59.1</v>
      </c>
      <c r="I7">
        <v>49.893999999999998</v>
      </c>
      <c r="J7">
        <v>1E-3</v>
      </c>
      <c r="K7">
        <v>230.47</v>
      </c>
      <c r="L7">
        <v>0</v>
      </c>
      <c r="M7">
        <v>53.000999999999998</v>
      </c>
      <c r="N7">
        <v>0</v>
      </c>
      <c r="O7">
        <v>0.85799999999999998</v>
      </c>
      <c r="P7">
        <v>2.1749999999999998</v>
      </c>
      <c r="Q7">
        <v>0</v>
      </c>
      <c r="R7">
        <v>16.681999999999999</v>
      </c>
      <c r="S7">
        <v>38.9</v>
      </c>
      <c r="T7">
        <v>19.2</v>
      </c>
    </row>
    <row r="8" spans="1:21" x14ac:dyDescent="0.3">
      <c r="A8" t="s">
        <v>33</v>
      </c>
      <c r="B8">
        <v>147.49299999999999</v>
      </c>
      <c r="C8">
        <v>100</v>
      </c>
      <c r="D8">
        <v>5.1139999999999999</v>
      </c>
      <c r="E8">
        <v>0.33</v>
      </c>
      <c r="F8">
        <v>73.528999999999996</v>
      </c>
      <c r="G8">
        <v>0.54</v>
      </c>
      <c r="H8">
        <v>59.027999999999999</v>
      </c>
      <c r="I8">
        <v>50.036999999999999</v>
      </c>
      <c r="J8">
        <v>2E-3</v>
      </c>
      <c r="K8">
        <v>230.02699999999999</v>
      </c>
      <c r="L8">
        <v>0</v>
      </c>
      <c r="M8">
        <v>52.923999999999999</v>
      </c>
      <c r="N8">
        <v>0</v>
      </c>
      <c r="O8">
        <v>0.85899999999999999</v>
      </c>
      <c r="P8">
        <v>2.169</v>
      </c>
      <c r="Q8">
        <v>0</v>
      </c>
      <c r="R8">
        <v>16.648</v>
      </c>
      <c r="S8">
        <v>38.9</v>
      </c>
      <c r="T8">
        <v>19.2</v>
      </c>
    </row>
    <row r="9" spans="1:21" x14ac:dyDescent="0.3">
      <c r="A9" t="s">
        <v>34</v>
      </c>
      <c r="B9">
        <v>147.38</v>
      </c>
      <c r="C9">
        <v>100</v>
      </c>
      <c r="D9">
        <v>5.2060000000000004</v>
      </c>
      <c r="E9">
        <v>0.32300000000000001</v>
      </c>
      <c r="F9">
        <v>73.748999999999995</v>
      </c>
      <c r="G9">
        <v>0.55500000000000005</v>
      </c>
      <c r="H9">
        <v>58.835000000000001</v>
      </c>
      <c r="I9">
        <v>49.84</v>
      </c>
      <c r="J9">
        <v>2E-3</v>
      </c>
      <c r="K9">
        <v>230.404</v>
      </c>
      <c r="L9">
        <v>0.11600000000000001</v>
      </c>
      <c r="M9">
        <v>52.872999999999998</v>
      </c>
      <c r="N9">
        <v>0</v>
      </c>
      <c r="O9">
        <v>0.86599999999999999</v>
      </c>
      <c r="P9">
        <v>2.1779999999999999</v>
      </c>
      <c r="Q9">
        <v>0</v>
      </c>
      <c r="R9">
        <v>16.649999999999999</v>
      </c>
      <c r="S9">
        <v>38.9</v>
      </c>
      <c r="T9">
        <v>19.2</v>
      </c>
    </row>
    <row r="10" spans="1:21" x14ac:dyDescent="0.3">
      <c r="A10" t="s">
        <v>35</v>
      </c>
      <c r="B10">
        <v>147.49299999999999</v>
      </c>
      <c r="C10">
        <v>100</v>
      </c>
      <c r="D10">
        <v>5.2160000000000002</v>
      </c>
      <c r="E10">
        <v>0.34399999999999997</v>
      </c>
      <c r="F10">
        <v>74.176000000000002</v>
      </c>
      <c r="G10">
        <v>0.65700000000000003</v>
      </c>
      <c r="H10">
        <v>59.061999999999998</v>
      </c>
      <c r="I10">
        <v>49.585999999999999</v>
      </c>
      <c r="J10">
        <v>1E-3</v>
      </c>
      <c r="K10">
        <v>230.15799999999999</v>
      </c>
      <c r="L10">
        <v>0</v>
      </c>
      <c r="M10">
        <v>52.987000000000002</v>
      </c>
      <c r="N10">
        <v>0</v>
      </c>
      <c r="O10">
        <v>0.85699999999999998</v>
      </c>
      <c r="P10">
        <v>2.1749999999999998</v>
      </c>
      <c r="Q10">
        <v>0</v>
      </c>
      <c r="R10">
        <v>16.635999999999999</v>
      </c>
      <c r="S10">
        <v>38.799999999999997</v>
      </c>
      <c r="T10">
        <v>19.2</v>
      </c>
    </row>
    <row r="11" spans="1:21" x14ac:dyDescent="0.3">
      <c r="A11" t="s">
        <v>36</v>
      </c>
      <c r="B11">
        <v>147.44300000000001</v>
      </c>
      <c r="C11">
        <v>100</v>
      </c>
      <c r="D11">
        <v>5.2919999999999998</v>
      </c>
      <c r="E11">
        <v>0.31900000000000001</v>
      </c>
      <c r="F11">
        <v>73.158000000000001</v>
      </c>
      <c r="G11">
        <v>0.46899999999999997</v>
      </c>
      <c r="H11">
        <v>58.826999999999998</v>
      </c>
      <c r="I11">
        <v>49.84</v>
      </c>
      <c r="J11">
        <v>1E-3</v>
      </c>
      <c r="K11">
        <v>230.47</v>
      </c>
      <c r="L11">
        <v>0</v>
      </c>
      <c r="M11">
        <v>52.850999999999999</v>
      </c>
      <c r="N11">
        <v>1E-3</v>
      </c>
      <c r="O11">
        <v>0.83699999999999997</v>
      </c>
      <c r="P11">
        <v>2.1349999999999998</v>
      </c>
      <c r="Q11">
        <v>0</v>
      </c>
      <c r="R11">
        <v>16.645</v>
      </c>
      <c r="S11">
        <v>38.9</v>
      </c>
      <c r="T11">
        <v>19.2</v>
      </c>
    </row>
    <row r="12" spans="1:21" x14ac:dyDescent="0.3">
      <c r="A12" t="s">
        <v>37</v>
      </c>
      <c r="B12">
        <v>147.14099999999999</v>
      </c>
      <c r="C12">
        <v>100</v>
      </c>
      <c r="D12">
        <v>5.407</v>
      </c>
      <c r="E12">
        <v>0.32700000000000001</v>
      </c>
      <c r="F12">
        <v>73.319000000000003</v>
      </c>
      <c r="G12">
        <v>0.52700000000000002</v>
      </c>
      <c r="H12">
        <v>58.853000000000002</v>
      </c>
      <c r="I12">
        <v>49.926000000000002</v>
      </c>
      <c r="J12">
        <v>2E-3</v>
      </c>
      <c r="K12">
        <v>230.10900000000001</v>
      </c>
      <c r="L12">
        <v>4.0000000000000001E-3</v>
      </c>
      <c r="M12">
        <v>52.859000000000002</v>
      </c>
      <c r="N12">
        <v>0</v>
      </c>
      <c r="O12">
        <v>0.876</v>
      </c>
      <c r="P12">
        <v>2.173</v>
      </c>
      <c r="Q12">
        <v>0</v>
      </c>
      <c r="R12">
        <v>16.646999999999998</v>
      </c>
      <c r="S12">
        <v>38.9</v>
      </c>
      <c r="T12">
        <v>19.2</v>
      </c>
    </row>
    <row r="13" spans="1:21" x14ac:dyDescent="0.3">
      <c r="A13" t="s">
        <v>38</v>
      </c>
      <c r="B13">
        <v>147.41900000000001</v>
      </c>
      <c r="C13">
        <v>100</v>
      </c>
      <c r="D13">
        <v>5.6070000000000002</v>
      </c>
      <c r="E13">
        <v>0.316</v>
      </c>
      <c r="F13">
        <v>72.986999999999995</v>
      </c>
      <c r="G13">
        <v>0.47599999999999998</v>
      </c>
      <c r="H13">
        <v>59.21</v>
      </c>
      <c r="I13">
        <v>50.066000000000003</v>
      </c>
      <c r="J13">
        <v>1E-3</v>
      </c>
      <c r="K13">
        <v>230.56899999999999</v>
      </c>
      <c r="L13">
        <v>6.0000000000000001E-3</v>
      </c>
      <c r="M13">
        <v>52.927999999999997</v>
      </c>
      <c r="N13">
        <v>0</v>
      </c>
      <c r="O13">
        <v>0.85799999999999998</v>
      </c>
      <c r="P13">
        <v>2.1619999999999999</v>
      </c>
      <c r="Q13">
        <v>0</v>
      </c>
      <c r="R13">
        <v>16.646999999999998</v>
      </c>
      <c r="S13">
        <v>38.799999999999997</v>
      </c>
      <c r="T13">
        <v>19.2</v>
      </c>
    </row>
    <row r="14" spans="1:21" x14ac:dyDescent="0.3">
      <c r="A14" t="s">
        <v>39</v>
      </c>
      <c r="B14">
        <v>147.14099999999999</v>
      </c>
      <c r="C14">
        <v>100</v>
      </c>
      <c r="D14">
        <v>5.7649999999999997</v>
      </c>
      <c r="E14">
        <v>0.308</v>
      </c>
      <c r="F14">
        <v>73.367999999999995</v>
      </c>
      <c r="G14">
        <v>0.48599999999999999</v>
      </c>
      <c r="H14">
        <v>58.957000000000001</v>
      </c>
      <c r="I14">
        <v>49.692</v>
      </c>
      <c r="J14">
        <v>3.0000000000000001E-3</v>
      </c>
      <c r="K14">
        <v>230.30600000000001</v>
      </c>
      <c r="L14">
        <v>6.0000000000000001E-3</v>
      </c>
      <c r="M14">
        <v>52.988999999999997</v>
      </c>
      <c r="N14">
        <v>0</v>
      </c>
      <c r="O14">
        <v>0.86699999999999999</v>
      </c>
      <c r="P14">
        <v>2.173</v>
      </c>
      <c r="Q14">
        <v>0</v>
      </c>
      <c r="R14">
        <v>16.664999999999999</v>
      </c>
      <c r="S14">
        <v>38.9</v>
      </c>
      <c r="T14">
        <v>19.2</v>
      </c>
    </row>
    <row r="15" spans="1:21" x14ac:dyDescent="0.3">
      <c r="A15" t="s">
        <v>40</v>
      </c>
      <c r="B15">
        <v>147.02199999999999</v>
      </c>
      <c r="C15">
        <v>100</v>
      </c>
      <c r="D15">
        <v>5.8079999999999998</v>
      </c>
      <c r="E15">
        <v>0.30299999999999999</v>
      </c>
      <c r="F15">
        <v>72.56</v>
      </c>
      <c r="G15">
        <v>0.46</v>
      </c>
      <c r="H15">
        <v>59.017000000000003</v>
      </c>
      <c r="I15">
        <v>49.877000000000002</v>
      </c>
      <c r="J15">
        <v>0</v>
      </c>
      <c r="K15">
        <v>230.55199999999999</v>
      </c>
      <c r="L15">
        <v>0</v>
      </c>
      <c r="M15">
        <v>52.877000000000002</v>
      </c>
      <c r="N15">
        <v>0</v>
      </c>
      <c r="O15">
        <v>0.89200000000000002</v>
      </c>
      <c r="P15">
        <v>2.1760000000000002</v>
      </c>
      <c r="Q15">
        <v>0</v>
      </c>
      <c r="R15">
        <v>16.649999999999999</v>
      </c>
      <c r="S15">
        <v>38.9</v>
      </c>
      <c r="T15">
        <v>19.2</v>
      </c>
    </row>
    <row r="16" spans="1:21" x14ac:dyDescent="0.3">
      <c r="A16" t="s">
        <v>41</v>
      </c>
      <c r="B16">
        <v>147.12799999999999</v>
      </c>
      <c r="C16">
        <v>100</v>
      </c>
      <c r="D16">
        <v>5.7060000000000004</v>
      </c>
      <c r="E16">
        <v>0.32400000000000001</v>
      </c>
      <c r="F16">
        <v>73.180999999999997</v>
      </c>
      <c r="G16">
        <v>0.26600000000000001</v>
      </c>
      <c r="H16">
        <v>59.098999999999997</v>
      </c>
      <c r="I16">
        <v>49.835999999999999</v>
      </c>
      <c r="J16">
        <v>2E-3</v>
      </c>
      <c r="K16">
        <v>230.273</v>
      </c>
      <c r="L16">
        <v>8.0000000000000002E-3</v>
      </c>
      <c r="M16">
        <v>52.981000000000002</v>
      </c>
      <c r="N16">
        <v>5.0000000000000001E-3</v>
      </c>
      <c r="O16">
        <v>0.87</v>
      </c>
      <c r="P16">
        <v>2.1920000000000002</v>
      </c>
      <c r="Q16">
        <v>0</v>
      </c>
      <c r="R16">
        <v>16.641999999999999</v>
      </c>
      <c r="S16">
        <v>38.9</v>
      </c>
      <c r="T16">
        <v>19.2</v>
      </c>
    </row>
    <row r="17" spans="1:20" x14ac:dyDescent="0.3">
      <c r="A17" t="s">
        <v>42</v>
      </c>
      <c r="B17">
        <v>146.89099999999999</v>
      </c>
      <c r="C17">
        <v>100</v>
      </c>
      <c r="D17">
        <v>5.5510000000000002</v>
      </c>
      <c r="E17">
        <v>0.33400000000000002</v>
      </c>
      <c r="F17">
        <v>71.626999999999995</v>
      </c>
      <c r="G17">
        <v>0.30199999999999999</v>
      </c>
      <c r="H17">
        <v>59.134</v>
      </c>
      <c r="I17">
        <v>49.954999999999998</v>
      </c>
      <c r="J17">
        <v>1E-3</v>
      </c>
      <c r="K17">
        <v>230.45400000000001</v>
      </c>
      <c r="L17">
        <v>6.0000000000000001E-3</v>
      </c>
      <c r="M17">
        <v>52.93</v>
      </c>
      <c r="N17">
        <v>0</v>
      </c>
      <c r="O17">
        <v>0.88400000000000001</v>
      </c>
      <c r="P17">
        <v>2.1720000000000002</v>
      </c>
      <c r="Q17">
        <v>0</v>
      </c>
      <c r="R17">
        <v>16.640999999999998</v>
      </c>
      <c r="S17">
        <v>38.9</v>
      </c>
      <c r="T17">
        <v>19.2</v>
      </c>
    </row>
    <row r="18" spans="1:20" x14ac:dyDescent="0.3">
      <c r="A18" t="s">
        <v>43</v>
      </c>
      <c r="B18">
        <v>147.39699999999999</v>
      </c>
      <c r="C18">
        <v>100</v>
      </c>
      <c r="D18">
        <v>5.41</v>
      </c>
      <c r="E18">
        <v>0.32600000000000001</v>
      </c>
      <c r="F18">
        <v>72.52</v>
      </c>
      <c r="G18">
        <v>0.27200000000000002</v>
      </c>
      <c r="H18">
        <v>59.128999999999998</v>
      </c>
      <c r="I18">
        <v>50.168999999999997</v>
      </c>
      <c r="J18">
        <v>2E-3</v>
      </c>
      <c r="K18">
        <v>230.273</v>
      </c>
      <c r="L18">
        <v>7.0000000000000001E-3</v>
      </c>
      <c r="M18">
        <v>52.893000000000001</v>
      </c>
      <c r="N18">
        <v>0</v>
      </c>
      <c r="O18">
        <v>0.88600000000000001</v>
      </c>
      <c r="P18">
        <v>2.1749999999999998</v>
      </c>
      <c r="Q18">
        <v>0</v>
      </c>
      <c r="R18">
        <v>16.661999999999999</v>
      </c>
      <c r="S18">
        <v>38.9</v>
      </c>
      <c r="T18">
        <v>19.2</v>
      </c>
    </row>
    <row r="19" spans="1:20" x14ac:dyDescent="0.3">
      <c r="A19" t="s">
        <v>44</v>
      </c>
      <c r="B19">
        <v>147.608</v>
      </c>
      <c r="C19">
        <v>100</v>
      </c>
      <c r="D19">
        <v>5.3179999999999996</v>
      </c>
      <c r="E19">
        <v>0.33</v>
      </c>
      <c r="F19">
        <v>72.572999999999993</v>
      </c>
      <c r="G19">
        <v>0.46</v>
      </c>
      <c r="H19">
        <v>59.146999999999998</v>
      </c>
      <c r="I19">
        <v>49.779000000000003</v>
      </c>
      <c r="J19">
        <v>2E-3</v>
      </c>
      <c r="K19">
        <v>230.45400000000001</v>
      </c>
      <c r="L19">
        <v>8.9999999999999993E-3</v>
      </c>
      <c r="M19">
        <v>53.006999999999998</v>
      </c>
      <c r="N19">
        <v>0</v>
      </c>
      <c r="O19">
        <v>0.88400000000000001</v>
      </c>
      <c r="P19">
        <v>2.1669999999999998</v>
      </c>
      <c r="Q19">
        <v>0</v>
      </c>
      <c r="R19">
        <v>16.646999999999998</v>
      </c>
      <c r="S19">
        <v>38.9</v>
      </c>
      <c r="T19">
        <v>19.2</v>
      </c>
    </row>
    <row r="20" spans="1:20" x14ac:dyDescent="0.3">
      <c r="A20" t="s">
        <v>45</v>
      </c>
      <c r="B20">
        <v>147.262</v>
      </c>
      <c r="C20">
        <v>100</v>
      </c>
      <c r="D20">
        <v>5.2329999999999997</v>
      </c>
      <c r="E20">
        <v>0.32700000000000001</v>
      </c>
      <c r="F20">
        <v>72.927999999999997</v>
      </c>
      <c r="G20">
        <v>0.65300000000000002</v>
      </c>
      <c r="H20">
        <v>58.881999999999998</v>
      </c>
      <c r="I20">
        <v>50.213999999999999</v>
      </c>
      <c r="J20">
        <v>3.0000000000000001E-3</v>
      </c>
      <c r="K20">
        <v>230.25700000000001</v>
      </c>
      <c r="L20">
        <v>7.0000000000000001E-3</v>
      </c>
      <c r="M20">
        <v>53.072000000000003</v>
      </c>
      <c r="N20">
        <v>0</v>
      </c>
      <c r="O20">
        <v>0.878</v>
      </c>
      <c r="P20">
        <v>2.2080000000000002</v>
      </c>
      <c r="Q20">
        <v>0</v>
      </c>
      <c r="R20">
        <v>16.632999999999999</v>
      </c>
      <c r="S20">
        <v>38.9</v>
      </c>
      <c r="T20">
        <v>19.2</v>
      </c>
    </row>
    <row r="21" spans="1:20" x14ac:dyDescent="0.3">
      <c r="A21" t="s">
        <v>46</v>
      </c>
      <c r="B21">
        <v>147.124</v>
      </c>
      <c r="C21">
        <v>100</v>
      </c>
      <c r="D21">
        <v>5.2160000000000002</v>
      </c>
      <c r="E21">
        <v>0.34100000000000003</v>
      </c>
      <c r="F21">
        <v>72.599000000000004</v>
      </c>
      <c r="G21">
        <v>0.41499999999999998</v>
      </c>
      <c r="H21">
        <v>58.95</v>
      </c>
      <c r="I21">
        <v>49.823999999999998</v>
      </c>
      <c r="J21">
        <v>2E-3</v>
      </c>
      <c r="K21">
        <v>230.37200000000001</v>
      </c>
      <c r="L21">
        <v>5.0000000000000001E-3</v>
      </c>
      <c r="M21">
        <v>53.095999999999997</v>
      </c>
      <c r="N21">
        <v>0</v>
      </c>
      <c r="O21">
        <v>0.873</v>
      </c>
      <c r="P21">
        <v>2.15</v>
      </c>
      <c r="Q21">
        <v>0</v>
      </c>
      <c r="R21">
        <v>16.648</v>
      </c>
      <c r="S21">
        <v>38.9</v>
      </c>
      <c r="T21">
        <v>19.2</v>
      </c>
    </row>
    <row r="22" spans="1:20" x14ac:dyDescent="0.3">
      <c r="A22" t="s">
        <v>47</v>
      </c>
      <c r="B22">
        <v>147.33500000000001</v>
      </c>
      <c r="C22">
        <v>100</v>
      </c>
      <c r="D22">
        <v>5.1269999999999998</v>
      </c>
      <c r="E22">
        <v>0.32900000000000001</v>
      </c>
      <c r="F22">
        <v>72.585999999999999</v>
      </c>
      <c r="G22">
        <v>0.51900000000000002</v>
      </c>
      <c r="H22">
        <v>59.055999999999997</v>
      </c>
      <c r="I22">
        <v>50.234000000000002</v>
      </c>
      <c r="J22">
        <v>3.0000000000000001E-3</v>
      </c>
      <c r="K22">
        <v>230.322</v>
      </c>
      <c r="L22">
        <v>6.0000000000000001E-3</v>
      </c>
      <c r="M22">
        <v>52.999000000000002</v>
      </c>
      <c r="N22">
        <v>0</v>
      </c>
      <c r="O22">
        <v>0.85899999999999999</v>
      </c>
      <c r="P22">
        <v>2.173</v>
      </c>
      <c r="Q22">
        <v>0</v>
      </c>
      <c r="R22">
        <v>16.646000000000001</v>
      </c>
      <c r="S22">
        <v>38.9</v>
      </c>
      <c r="T22">
        <v>19.2</v>
      </c>
    </row>
    <row r="23" spans="1:20" x14ac:dyDescent="0.3">
      <c r="A23" t="s">
        <v>48</v>
      </c>
      <c r="B23">
        <v>147.059</v>
      </c>
      <c r="C23">
        <v>100</v>
      </c>
      <c r="D23">
        <v>5.0060000000000002</v>
      </c>
      <c r="E23">
        <v>0.32100000000000001</v>
      </c>
      <c r="F23">
        <v>72.644999999999996</v>
      </c>
      <c r="G23">
        <v>0.39200000000000002</v>
      </c>
      <c r="H23">
        <v>58.896000000000001</v>
      </c>
      <c r="I23">
        <v>50.05</v>
      </c>
      <c r="J23">
        <v>1E-3</v>
      </c>
      <c r="K23">
        <v>230.35499999999999</v>
      </c>
      <c r="L23">
        <v>0.192</v>
      </c>
      <c r="M23">
        <v>52.95</v>
      </c>
      <c r="N23">
        <v>0</v>
      </c>
      <c r="O23">
        <v>0.85699999999999998</v>
      </c>
      <c r="P23">
        <v>2.1720000000000002</v>
      </c>
      <c r="Q23">
        <v>0</v>
      </c>
      <c r="R23">
        <v>16.651</v>
      </c>
      <c r="S23">
        <v>38.9</v>
      </c>
      <c r="T23">
        <v>19.2</v>
      </c>
    </row>
    <row r="24" spans="1:20" x14ac:dyDescent="0.3">
      <c r="A24" t="s">
        <v>49</v>
      </c>
      <c r="B24">
        <v>146.9</v>
      </c>
      <c r="C24">
        <v>100</v>
      </c>
      <c r="D24">
        <v>4.8380000000000001</v>
      </c>
      <c r="E24">
        <v>0.31</v>
      </c>
      <c r="F24">
        <v>72.463999999999999</v>
      </c>
      <c r="G24">
        <v>0.65800000000000003</v>
      </c>
      <c r="H24">
        <v>58.856000000000002</v>
      </c>
      <c r="I24">
        <v>50.087000000000003</v>
      </c>
      <c r="J24">
        <v>3.0000000000000001E-3</v>
      </c>
      <c r="K24">
        <v>230.339</v>
      </c>
      <c r="L24">
        <v>0.108</v>
      </c>
      <c r="M24">
        <v>53.11</v>
      </c>
      <c r="N24">
        <v>0</v>
      </c>
      <c r="O24">
        <v>0.86599999999999999</v>
      </c>
      <c r="P24">
        <v>2.1549999999999998</v>
      </c>
      <c r="Q24">
        <v>0</v>
      </c>
      <c r="R24">
        <v>16.643999999999998</v>
      </c>
      <c r="S24">
        <v>38.9</v>
      </c>
      <c r="T24">
        <v>19.2</v>
      </c>
    </row>
    <row r="25" spans="1:20" ht="15" thickBot="1" x14ac:dyDescent="0.35">
      <c r="A25" t="s">
        <v>50</v>
      </c>
      <c r="B25">
        <v>147.399</v>
      </c>
      <c r="C25">
        <v>100</v>
      </c>
      <c r="D25">
        <v>4.8419999999999996</v>
      </c>
      <c r="E25">
        <v>0.309</v>
      </c>
      <c r="F25">
        <v>72.372</v>
      </c>
      <c r="G25">
        <v>0.73199999999999998</v>
      </c>
      <c r="H25">
        <v>58.975000000000001</v>
      </c>
      <c r="I25">
        <v>50.317</v>
      </c>
      <c r="J25">
        <v>2E-3</v>
      </c>
      <c r="K25">
        <v>230.38800000000001</v>
      </c>
      <c r="L25">
        <v>0.109</v>
      </c>
      <c r="M25">
        <v>52.956000000000003</v>
      </c>
      <c r="N25">
        <v>0</v>
      </c>
      <c r="O25">
        <v>0.85399999999999998</v>
      </c>
      <c r="P25">
        <v>2.1829999999999998</v>
      </c>
      <c r="Q25">
        <v>0</v>
      </c>
      <c r="R25">
        <v>16.652000000000001</v>
      </c>
      <c r="S25">
        <v>38.9</v>
      </c>
      <c r="T25">
        <v>19.2</v>
      </c>
    </row>
    <row r="26" spans="1:20" ht="15" thickBot="1" x14ac:dyDescent="0.35">
      <c r="A26" t="s">
        <v>0</v>
      </c>
      <c r="B26" s="1">
        <f t="shared" ref="B26:S26" si="0">AVERAGE(B6:B25)</f>
        <v>147.27665000000002</v>
      </c>
      <c r="C26" s="1">
        <f t="shared" si="0"/>
        <v>100</v>
      </c>
      <c r="D26" s="1">
        <f t="shared" si="0"/>
        <v>5.2863499999999988</v>
      </c>
      <c r="E26" s="10">
        <f t="shared" si="0"/>
        <v>0.32374999999999993</v>
      </c>
      <c r="F26" s="1">
        <f t="shared" si="0"/>
        <v>73.060749999999999</v>
      </c>
      <c r="G26" s="1">
        <f t="shared" si="0"/>
        <v>0.5452999999999999</v>
      </c>
      <c r="H26" s="10">
        <f t="shared" si="0"/>
        <v>59.003800000000012</v>
      </c>
      <c r="I26" s="1">
        <f t="shared" si="0"/>
        <v>49.943499999999993</v>
      </c>
      <c r="J26" s="8">
        <f t="shared" si="0"/>
        <v>1.7500000000000003E-3</v>
      </c>
      <c r="K26" s="1">
        <f t="shared" si="0"/>
        <v>230.34455000000003</v>
      </c>
      <c r="L26" s="1">
        <f t="shared" si="0"/>
        <v>3.44E-2</v>
      </c>
      <c r="M26" s="1">
        <f t="shared" si="0"/>
        <v>52.960549999999998</v>
      </c>
      <c r="N26" s="1">
        <f t="shared" si="0"/>
        <v>3.0000000000000003E-4</v>
      </c>
      <c r="O26" s="1">
        <f t="shared" si="0"/>
        <v>0.86744999999999983</v>
      </c>
      <c r="P26" s="1">
        <f t="shared" si="0"/>
        <v>2.1718999999999999</v>
      </c>
      <c r="Q26" s="1">
        <f t="shared" si="0"/>
        <v>0</v>
      </c>
      <c r="R26" s="1">
        <f t="shared" si="0"/>
        <v>16.6493</v>
      </c>
      <c r="S26" s="1">
        <f t="shared" si="0"/>
        <v>38.889999999999986</v>
      </c>
      <c r="T26" s="8">
        <f>AVERAGE(T6:T25)</f>
        <v>19.199999999999996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1.3044500000000001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D9C4-E0DF-4A20-8B2B-CBA4B4C9CFBD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31" sqref="G31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0.42383101851851851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69.873880788969771</v>
      </c>
      <c r="M2" s="8">
        <f>(H26*0.001*60)*(K2/100)*(G2/I2)</f>
        <v>1.9443081113381302</v>
      </c>
      <c r="O2" s="9">
        <f>100*((E26*C2)/((E26*C2)+(M2*E2)))</f>
        <v>13.54800963040843</v>
      </c>
      <c r="Q2" s="10">
        <f>100*J26*(1/(((C2/3.6)*E26)+((E2/3.6)*M2)))</f>
        <v>6.4623470021055107</v>
      </c>
      <c r="S2" s="6">
        <v>3.54</v>
      </c>
      <c r="U2" s="10">
        <f>100*((((G26*0.001*60)*(C26-D26)*(S2/3.6)))/(((C2/3.6)*E26)+((E2/3.6)*M2)))</f>
        <v>57.580518769727917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52</v>
      </c>
      <c r="B6">
        <v>170.946</v>
      </c>
      <c r="C6">
        <v>100</v>
      </c>
      <c r="D6">
        <v>8.6890000000000001</v>
      </c>
      <c r="E6">
        <v>0.372</v>
      </c>
      <c r="F6">
        <v>74.316999999999993</v>
      </c>
      <c r="G6">
        <v>1.2829999999999999</v>
      </c>
      <c r="H6">
        <v>65.114000000000004</v>
      </c>
      <c r="I6">
        <v>51.034999999999997</v>
      </c>
      <c r="J6">
        <v>2.0230000000000001</v>
      </c>
      <c r="K6">
        <v>230.63399999999999</v>
      </c>
      <c r="L6">
        <v>2.9140000000000001</v>
      </c>
      <c r="M6">
        <v>52.923999999999999</v>
      </c>
      <c r="N6">
        <v>2.95</v>
      </c>
      <c r="O6">
        <v>0.875</v>
      </c>
      <c r="P6">
        <v>2.09</v>
      </c>
      <c r="Q6">
        <v>0</v>
      </c>
      <c r="R6">
        <v>18.454000000000001</v>
      </c>
      <c r="S6">
        <v>42.7</v>
      </c>
      <c r="T6">
        <v>22.2</v>
      </c>
    </row>
    <row r="7" spans="1:21" x14ac:dyDescent="0.3">
      <c r="A7" t="s">
        <v>53</v>
      </c>
      <c r="B7">
        <v>171.61199999999999</v>
      </c>
      <c r="C7">
        <v>100</v>
      </c>
      <c r="D7">
        <v>8.6259999999999994</v>
      </c>
      <c r="E7">
        <v>0.35099999999999998</v>
      </c>
      <c r="F7">
        <v>73.486000000000004</v>
      </c>
      <c r="G7">
        <v>1.4039999999999999</v>
      </c>
      <c r="H7">
        <v>64.921999999999997</v>
      </c>
      <c r="I7">
        <v>51.343000000000004</v>
      </c>
      <c r="J7">
        <v>2.0190000000000001</v>
      </c>
      <c r="K7">
        <v>230.45400000000001</v>
      </c>
      <c r="L7">
        <v>2.907</v>
      </c>
      <c r="M7">
        <v>52.881</v>
      </c>
      <c r="N7">
        <v>2.9540000000000002</v>
      </c>
      <c r="O7">
        <v>0.88400000000000001</v>
      </c>
      <c r="P7">
        <v>2.1080000000000001</v>
      </c>
      <c r="Q7">
        <v>0</v>
      </c>
      <c r="R7">
        <v>18.457000000000001</v>
      </c>
      <c r="S7">
        <v>42.7</v>
      </c>
      <c r="T7">
        <v>22.2</v>
      </c>
    </row>
    <row r="8" spans="1:21" x14ac:dyDescent="0.3">
      <c r="A8" t="s">
        <v>54</v>
      </c>
      <c r="B8">
        <v>171.274</v>
      </c>
      <c r="C8">
        <v>100</v>
      </c>
      <c r="D8">
        <v>8.5210000000000008</v>
      </c>
      <c r="E8">
        <v>0.35099999999999998</v>
      </c>
      <c r="F8">
        <v>73.728999999999999</v>
      </c>
      <c r="G8">
        <v>1.738</v>
      </c>
      <c r="H8">
        <v>65.049000000000007</v>
      </c>
      <c r="I8">
        <v>51.515999999999998</v>
      </c>
      <c r="J8">
        <v>2.024</v>
      </c>
      <c r="K8">
        <v>230.536</v>
      </c>
      <c r="L8">
        <v>2.9140000000000001</v>
      </c>
      <c r="M8">
        <v>53.036999999999999</v>
      </c>
      <c r="N8">
        <v>2.948</v>
      </c>
      <c r="O8">
        <v>0.878</v>
      </c>
      <c r="P8">
        <v>2.1070000000000002</v>
      </c>
      <c r="Q8">
        <v>0</v>
      </c>
      <c r="R8">
        <v>18.47</v>
      </c>
      <c r="S8">
        <v>42.7</v>
      </c>
      <c r="T8">
        <v>22.2</v>
      </c>
    </row>
    <row r="9" spans="1:21" x14ac:dyDescent="0.3">
      <c r="A9" t="s">
        <v>55</v>
      </c>
      <c r="B9">
        <v>171.28200000000001</v>
      </c>
      <c r="C9">
        <v>100</v>
      </c>
      <c r="D9">
        <v>8.3309999999999995</v>
      </c>
      <c r="E9">
        <v>0.36599999999999999</v>
      </c>
      <c r="F9">
        <v>73.325000000000003</v>
      </c>
      <c r="G9">
        <v>1.946</v>
      </c>
      <c r="H9">
        <v>65.048000000000002</v>
      </c>
      <c r="I9">
        <v>50.029000000000003</v>
      </c>
      <c r="J9">
        <v>2.0179999999999998</v>
      </c>
      <c r="K9">
        <v>230.37200000000001</v>
      </c>
      <c r="L9">
        <v>2.9079999999999999</v>
      </c>
      <c r="M9">
        <v>52.906999999999996</v>
      </c>
      <c r="N9">
        <v>2.956</v>
      </c>
      <c r="O9">
        <v>0.90400000000000003</v>
      </c>
      <c r="P9">
        <v>2.093</v>
      </c>
      <c r="Q9">
        <v>0</v>
      </c>
      <c r="R9">
        <v>18.452000000000002</v>
      </c>
      <c r="S9">
        <v>42.7</v>
      </c>
      <c r="T9">
        <v>22.2</v>
      </c>
    </row>
    <row r="10" spans="1:21" x14ac:dyDescent="0.3">
      <c r="A10" t="s">
        <v>56</v>
      </c>
      <c r="B10">
        <v>171.18799999999999</v>
      </c>
      <c r="C10">
        <v>100</v>
      </c>
      <c r="D10">
        <v>8.15</v>
      </c>
      <c r="E10">
        <v>0.35899999999999999</v>
      </c>
      <c r="F10">
        <v>75.02</v>
      </c>
      <c r="G10">
        <v>1.78</v>
      </c>
      <c r="H10">
        <v>64.995000000000005</v>
      </c>
      <c r="I10">
        <v>51.293999999999997</v>
      </c>
      <c r="J10">
        <v>2.024</v>
      </c>
      <c r="K10">
        <v>230.65100000000001</v>
      </c>
      <c r="L10">
        <v>2.915</v>
      </c>
      <c r="M10">
        <v>53.040999999999997</v>
      </c>
      <c r="N10">
        <v>2.95</v>
      </c>
      <c r="O10">
        <v>0.88800000000000001</v>
      </c>
      <c r="P10">
        <v>2.1160000000000001</v>
      </c>
      <c r="Q10">
        <v>0</v>
      </c>
      <c r="R10">
        <v>18.463000000000001</v>
      </c>
      <c r="S10">
        <v>42.8</v>
      </c>
      <c r="T10">
        <v>22.2</v>
      </c>
    </row>
    <row r="11" spans="1:21" x14ac:dyDescent="0.3">
      <c r="A11" t="s">
        <v>57</v>
      </c>
      <c r="B11">
        <v>171.44900000000001</v>
      </c>
      <c r="C11">
        <v>100</v>
      </c>
      <c r="D11">
        <v>8.0120000000000005</v>
      </c>
      <c r="E11">
        <v>0.35599999999999998</v>
      </c>
      <c r="F11">
        <v>73.47</v>
      </c>
      <c r="G11">
        <v>1.8560000000000001</v>
      </c>
      <c r="H11">
        <v>64.983999999999995</v>
      </c>
      <c r="I11">
        <v>51.613999999999997</v>
      </c>
      <c r="J11">
        <v>2.0179999999999998</v>
      </c>
      <c r="K11">
        <v>230.50299999999999</v>
      </c>
      <c r="L11">
        <v>2.907</v>
      </c>
      <c r="M11">
        <v>52.981000000000002</v>
      </c>
      <c r="N11">
        <v>2.952</v>
      </c>
      <c r="O11">
        <v>0.89</v>
      </c>
      <c r="P11">
        <v>2.1030000000000002</v>
      </c>
      <c r="Q11">
        <v>0</v>
      </c>
      <c r="R11">
        <v>18.457999999999998</v>
      </c>
      <c r="S11">
        <v>42.8</v>
      </c>
      <c r="T11">
        <v>22.2</v>
      </c>
    </row>
    <row r="12" spans="1:21" x14ac:dyDescent="0.3">
      <c r="A12" t="s">
        <v>58</v>
      </c>
      <c r="B12">
        <v>171.56700000000001</v>
      </c>
      <c r="C12">
        <v>100</v>
      </c>
      <c r="D12">
        <v>7.7460000000000004</v>
      </c>
      <c r="E12">
        <v>0.33800000000000002</v>
      </c>
      <c r="F12">
        <v>75.328999999999994</v>
      </c>
      <c r="G12">
        <v>2.1779999999999999</v>
      </c>
      <c r="H12">
        <v>64.843999999999994</v>
      </c>
      <c r="I12">
        <v>51.581000000000003</v>
      </c>
      <c r="J12">
        <v>2.0230000000000001</v>
      </c>
      <c r="K12">
        <v>230.61799999999999</v>
      </c>
      <c r="L12">
        <v>2.9159999999999999</v>
      </c>
      <c r="M12">
        <v>52.975999999999999</v>
      </c>
      <c r="N12">
        <v>2.952</v>
      </c>
      <c r="O12">
        <v>0.89800000000000002</v>
      </c>
      <c r="P12">
        <v>2.1080000000000001</v>
      </c>
      <c r="Q12">
        <v>0</v>
      </c>
      <c r="R12">
        <v>18.471</v>
      </c>
      <c r="S12">
        <v>42.8</v>
      </c>
      <c r="T12">
        <v>22.2</v>
      </c>
    </row>
    <row r="13" spans="1:21" x14ac:dyDescent="0.3">
      <c r="A13" t="s">
        <v>59</v>
      </c>
      <c r="B13">
        <v>171.12</v>
      </c>
      <c r="C13">
        <v>100</v>
      </c>
      <c r="D13">
        <v>7.2859999999999996</v>
      </c>
      <c r="E13">
        <v>0.33500000000000002</v>
      </c>
      <c r="F13">
        <v>75.664000000000001</v>
      </c>
      <c r="G13">
        <v>2.5950000000000002</v>
      </c>
      <c r="H13">
        <v>64.876999999999995</v>
      </c>
      <c r="I13">
        <v>52.054000000000002</v>
      </c>
      <c r="J13">
        <v>2.0169999999999999</v>
      </c>
      <c r="K13">
        <v>230.43700000000001</v>
      </c>
      <c r="L13">
        <v>2.91</v>
      </c>
      <c r="M13">
        <v>52.838999999999999</v>
      </c>
      <c r="N13">
        <v>2.948</v>
      </c>
      <c r="O13">
        <v>0.88700000000000001</v>
      </c>
      <c r="P13">
        <v>2.089</v>
      </c>
      <c r="Q13">
        <v>0</v>
      </c>
      <c r="R13">
        <v>18.454000000000001</v>
      </c>
      <c r="S13">
        <v>42.8</v>
      </c>
      <c r="T13">
        <v>22.2</v>
      </c>
    </row>
    <row r="14" spans="1:21" x14ac:dyDescent="0.3">
      <c r="A14" t="s">
        <v>60</v>
      </c>
      <c r="B14">
        <v>171.35300000000001</v>
      </c>
      <c r="C14">
        <v>100</v>
      </c>
      <c r="D14">
        <v>6.6619999999999999</v>
      </c>
      <c r="E14">
        <v>0.35199999999999998</v>
      </c>
      <c r="F14">
        <v>75.302999999999997</v>
      </c>
      <c r="G14">
        <v>2.9039999999999999</v>
      </c>
      <c r="H14">
        <v>64.962000000000003</v>
      </c>
      <c r="I14">
        <v>51.261000000000003</v>
      </c>
      <c r="J14">
        <v>2.0230000000000001</v>
      </c>
      <c r="K14">
        <v>230.749</v>
      </c>
      <c r="L14">
        <v>3.0670000000000002</v>
      </c>
      <c r="M14">
        <v>52.945999999999998</v>
      </c>
      <c r="N14">
        <v>2.95</v>
      </c>
      <c r="O14">
        <v>0.879</v>
      </c>
      <c r="P14">
        <v>2.0939999999999999</v>
      </c>
      <c r="Q14">
        <v>0</v>
      </c>
      <c r="R14">
        <v>18.449000000000002</v>
      </c>
      <c r="S14">
        <v>42.8</v>
      </c>
      <c r="T14">
        <v>22.2</v>
      </c>
    </row>
    <row r="15" spans="1:21" x14ac:dyDescent="0.3">
      <c r="A15" t="s">
        <v>61</v>
      </c>
      <c r="B15">
        <v>171.81</v>
      </c>
      <c r="C15">
        <v>100</v>
      </c>
      <c r="D15">
        <v>6.2249999999999996</v>
      </c>
      <c r="E15">
        <v>0.36399999999999999</v>
      </c>
      <c r="F15">
        <v>76.686000000000007</v>
      </c>
      <c r="G15">
        <v>3.3540000000000001</v>
      </c>
      <c r="H15">
        <v>64.909000000000006</v>
      </c>
      <c r="I15">
        <v>51.54</v>
      </c>
      <c r="J15">
        <v>1.9910000000000001</v>
      </c>
      <c r="K15">
        <v>230.17400000000001</v>
      </c>
      <c r="L15">
        <v>3.052</v>
      </c>
      <c r="M15">
        <v>53.021000000000001</v>
      </c>
      <c r="N15">
        <v>2.9660000000000002</v>
      </c>
      <c r="O15">
        <v>0.90200000000000002</v>
      </c>
      <c r="P15">
        <v>2.097</v>
      </c>
      <c r="Q15">
        <v>0</v>
      </c>
      <c r="R15">
        <v>18.449000000000002</v>
      </c>
      <c r="S15">
        <v>42.8</v>
      </c>
      <c r="T15">
        <v>22.2</v>
      </c>
    </row>
    <row r="16" spans="1:21" x14ac:dyDescent="0.3">
      <c r="A16" t="s">
        <v>62</v>
      </c>
      <c r="B16">
        <v>172.17599999999999</v>
      </c>
      <c r="C16">
        <v>100</v>
      </c>
      <c r="D16">
        <v>5.8170000000000002</v>
      </c>
      <c r="E16">
        <v>0.36</v>
      </c>
      <c r="F16">
        <v>76.718999999999994</v>
      </c>
      <c r="G16">
        <v>3.7</v>
      </c>
      <c r="H16">
        <v>64.912000000000006</v>
      </c>
      <c r="I16">
        <v>51.716999999999999</v>
      </c>
      <c r="J16">
        <v>2.024</v>
      </c>
      <c r="K16">
        <v>230.684</v>
      </c>
      <c r="L16">
        <v>2.992</v>
      </c>
      <c r="M16">
        <v>52.978999999999999</v>
      </c>
      <c r="N16">
        <v>2.9540000000000002</v>
      </c>
      <c r="O16">
        <v>0.88700000000000001</v>
      </c>
      <c r="P16">
        <v>2.1030000000000002</v>
      </c>
      <c r="Q16">
        <v>0</v>
      </c>
      <c r="R16">
        <v>18.452999999999999</v>
      </c>
      <c r="S16">
        <v>42.9</v>
      </c>
      <c r="T16">
        <v>22.2</v>
      </c>
    </row>
    <row r="17" spans="1:20" x14ac:dyDescent="0.3">
      <c r="A17" t="s">
        <v>63</v>
      </c>
      <c r="B17">
        <v>172.172</v>
      </c>
      <c r="C17">
        <v>100</v>
      </c>
      <c r="D17">
        <v>5.3639999999999999</v>
      </c>
      <c r="E17">
        <v>0.35299999999999998</v>
      </c>
      <c r="F17">
        <v>77.31</v>
      </c>
      <c r="G17">
        <v>4.0339999999999998</v>
      </c>
      <c r="H17">
        <v>64.959999999999994</v>
      </c>
      <c r="I17">
        <v>51.606000000000002</v>
      </c>
      <c r="J17">
        <v>2.0190000000000001</v>
      </c>
      <c r="K17">
        <v>230.84800000000001</v>
      </c>
      <c r="L17">
        <v>3.0390000000000001</v>
      </c>
      <c r="M17">
        <v>52.927999999999997</v>
      </c>
      <c r="N17">
        <v>2.9529999999999998</v>
      </c>
      <c r="O17">
        <v>0.89600000000000002</v>
      </c>
      <c r="P17">
        <v>2.0990000000000002</v>
      </c>
      <c r="Q17">
        <v>0</v>
      </c>
      <c r="R17">
        <v>18.434000000000001</v>
      </c>
      <c r="S17">
        <v>42.8</v>
      </c>
      <c r="T17">
        <v>22.2</v>
      </c>
    </row>
    <row r="18" spans="1:20" x14ac:dyDescent="0.3">
      <c r="A18" t="s">
        <v>64</v>
      </c>
      <c r="B18">
        <v>171.80099999999999</v>
      </c>
      <c r="C18">
        <v>100</v>
      </c>
      <c r="D18">
        <v>4.9889999999999999</v>
      </c>
      <c r="E18">
        <v>0.35199999999999998</v>
      </c>
      <c r="F18">
        <v>76.456000000000003</v>
      </c>
      <c r="G18">
        <v>3.9780000000000002</v>
      </c>
      <c r="H18">
        <v>64.751000000000005</v>
      </c>
      <c r="I18">
        <v>51.424999999999997</v>
      </c>
      <c r="J18">
        <v>2.024</v>
      </c>
      <c r="K18">
        <v>230.76599999999999</v>
      </c>
      <c r="L18">
        <v>3.044</v>
      </c>
      <c r="M18">
        <v>52.944000000000003</v>
      </c>
      <c r="N18">
        <v>2.9529999999999998</v>
      </c>
      <c r="O18">
        <v>0.88300000000000001</v>
      </c>
      <c r="P18">
        <v>2.1019999999999999</v>
      </c>
      <c r="Q18">
        <v>0</v>
      </c>
      <c r="R18">
        <v>18.433</v>
      </c>
      <c r="S18">
        <v>42.8</v>
      </c>
      <c r="T18">
        <v>22.2</v>
      </c>
    </row>
    <row r="19" spans="1:20" x14ac:dyDescent="0.3">
      <c r="A19" t="s">
        <v>65</v>
      </c>
      <c r="B19">
        <v>172.23599999999999</v>
      </c>
      <c r="C19">
        <v>100</v>
      </c>
      <c r="D19">
        <v>4.6970000000000001</v>
      </c>
      <c r="E19">
        <v>0.35599999999999998</v>
      </c>
      <c r="F19">
        <v>76.570999999999998</v>
      </c>
      <c r="G19">
        <v>4.0549999999999997</v>
      </c>
      <c r="H19">
        <v>64.876000000000005</v>
      </c>
      <c r="I19">
        <v>51.54</v>
      </c>
      <c r="J19">
        <v>2.02</v>
      </c>
      <c r="K19">
        <v>230.48599999999999</v>
      </c>
      <c r="L19">
        <v>3.01</v>
      </c>
      <c r="M19">
        <v>52.866999999999997</v>
      </c>
      <c r="N19">
        <v>2.9540000000000002</v>
      </c>
      <c r="O19">
        <v>0.89300000000000002</v>
      </c>
      <c r="P19">
        <v>2.1019999999999999</v>
      </c>
      <c r="Q19">
        <v>0</v>
      </c>
      <c r="R19">
        <v>18.428999999999998</v>
      </c>
      <c r="S19">
        <v>42.8</v>
      </c>
      <c r="T19">
        <v>22.2</v>
      </c>
    </row>
    <row r="20" spans="1:20" x14ac:dyDescent="0.3">
      <c r="A20" t="s">
        <v>66</v>
      </c>
      <c r="B20">
        <v>171.62299999999999</v>
      </c>
      <c r="C20">
        <v>100</v>
      </c>
      <c r="D20">
        <v>4.4279999999999999</v>
      </c>
      <c r="E20">
        <v>0.36299999999999999</v>
      </c>
      <c r="F20">
        <v>76.86</v>
      </c>
      <c r="G20">
        <v>4.548</v>
      </c>
      <c r="H20">
        <v>64.968000000000004</v>
      </c>
      <c r="I20">
        <v>51.597999999999999</v>
      </c>
      <c r="J20">
        <v>2.0230000000000001</v>
      </c>
      <c r="K20">
        <v>230.684</v>
      </c>
      <c r="L20">
        <v>2.8359999999999999</v>
      </c>
      <c r="M20">
        <v>52.884999999999998</v>
      </c>
      <c r="N20">
        <v>2.95</v>
      </c>
      <c r="O20">
        <v>0.873</v>
      </c>
      <c r="P20">
        <v>2.1110000000000002</v>
      </c>
      <c r="Q20">
        <v>0</v>
      </c>
      <c r="R20">
        <v>18.451000000000001</v>
      </c>
      <c r="S20">
        <v>42.8</v>
      </c>
      <c r="T20">
        <v>22.2</v>
      </c>
    </row>
    <row r="21" spans="1:20" x14ac:dyDescent="0.3">
      <c r="A21" t="s">
        <v>67</v>
      </c>
      <c r="B21">
        <v>172.01900000000001</v>
      </c>
      <c r="C21">
        <v>100</v>
      </c>
      <c r="D21">
        <v>4.319</v>
      </c>
      <c r="E21">
        <v>0.36799999999999999</v>
      </c>
      <c r="F21">
        <v>77.307000000000002</v>
      </c>
      <c r="G21">
        <v>4.2279999999999998</v>
      </c>
      <c r="H21">
        <v>64.709000000000003</v>
      </c>
      <c r="I21">
        <v>51.865000000000002</v>
      </c>
      <c r="J21">
        <v>2.0190000000000001</v>
      </c>
      <c r="K21">
        <v>230.43700000000001</v>
      </c>
      <c r="L21">
        <v>2.91</v>
      </c>
      <c r="M21">
        <v>52.902999999999999</v>
      </c>
      <c r="N21">
        <v>2.9489999999999998</v>
      </c>
      <c r="O21">
        <v>0.88400000000000001</v>
      </c>
      <c r="P21">
        <v>2.1030000000000002</v>
      </c>
      <c r="Q21">
        <v>0</v>
      </c>
      <c r="R21">
        <v>18.425999999999998</v>
      </c>
      <c r="S21">
        <v>42.8</v>
      </c>
      <c r="T21">
        <v>22.2</v>
      </c>
    </row>
    <row r="22" spans="1:20" x14ac:dyDescent="0.3">
      <c r="A22" t="s">
        <v>68</v>
      </c>
      <c r="B22">
        <v>172.17599999999999</v>
      </c>
      <c r="C22">
        <v>100</v>
      </c>
      <c r="D22">
        <v>4.1879999999999997</v>
      </c>
      <c r="E22">
        <v>0.36199999999999999</v>
      </c>
      <c r="F22">
        <v>77.343000000000004</v>
      </c>
      <c r="G22">
        <v>4.7430000000000003</v>
      </c>
      <c r="H22">
        <v>64.861000000000004</v>
      </c>
      <c r="I22">
        <v>55.454000000000001</v>
      </c>
      <c r="J22">
        <v>2.0249999999999999</v>
      </c>
      <c r="K22">
        <v>230.864</v>
      </c>
      <c r="L22">
        <v>2.903</v>
      </c>
      <c r="M22">
        <v>52.956000000000003</v>
      </c>
      <c r="N22">
        <v>2.9609999999999999</v>
      </c>
      <c r="O22">
        <v>0.88900000000000001</v>
      </c>
      <c r="P22">
        <v>2.11</v>
      </c>
      <c r="Q22">
        <v>0</v>
      </c>
      <c r="R22">
        <v>18.436</v>
      </c>
      <c r="S22">
        <v>42.8</v>
      </c>
      <c r="T22">
        <v>22.2</v>
      </c>
    </row>
    <row r="23" spans="1:20" x14ac:dyDescent="0.3">
      <c r="A23" t="s">
        <v>69</v>
      </c>
      <c r="B23">
        <v>172.18</v>
      </c>
      <c r="C23">
        <v>100</v>
      </c>
      <c r="D23">
        <v>4.0860000000000003</v>
      </c>
      <c r="E23">
        <v>0.35599999999999998</v>
      </c>
      <c r="F23">
        <v>77.238</v>
      </c>
      <c r="G23">
        <v>4.8579999999999997</v>
      </c>
      <c r="H23">
        <v>64.981999999999999</v>
      </c>
      <c r="I23">
        <v>51.45</v>
      </c>
      <c r="J23">
        <v>2.0190000000000001</v>
      </c>
      <c r="K23">
        <v>230.42099999999999</v>
      </c>
      <c r="L23">
        <v>2.91</v>
      </c>
      <c r="M23">
        <v>52.914000000000001</v>
      </c>
      <c r="N23">
        <v>2.9550000000000001</v>
      </c>
      <c r="O23">
        <v>0.89100000000000001</v>
      </c>
      <c r="P23">
        <v>2.081</v>
      </c>
      <c r="Q23">
        <v>0</v>
      </c>
      <c r="R23">
        <v>18.437000000000001</v>
      </c>
      <c r="S23">
        <v>42.8</v>
      </c>
      <c r="T23">
        <v>22.2</v>
      </c>
    </row>
    <row r="24" spans="1:20" x14ac:dyDescent="0.3">
      <c r="A24" t="s">
        <v>70</v>
      </c>
      <c r="B24">
        <v>172.178</v>
      </c>
      <c r="C24">
        <v>100</v>
      </c>
      <c r="D24">
        <v>4.1189999999999998</v>
      </c>
      <c r="E24">
        <v>0.371</v>
      </c>
      <c r="F24">
        <v>77.786000000000001</v>
      </c>
      <c r="G24">
        <v>4.6989999999999998</v>
      </c>
      <c r="H24">
        <v>64.885999999999996</v>
      </c>
      <c r="I24">
        <v>51.651000000000003</v>
      </c>
      <c r="J24">
        <v>2.0230000000000001</v>
      </c>
      <c r="K24">
        <v>230.83099999999999</v>
      </c>
      <c r="L24">
        <v>2.907</v>
      </c>
      <c r="M24">
        <v>52.893000000000001</v>
      </c>
      <c r="N24">
        <v>2.9510000000000001</v>
      </c>
      <c r="O24">
        <v>0.89600000000000002</v>
      </c>
      <c r="P24">
        <v>2.0840000000000001</v>
      </c>
      <c r="Q24">
        <v>0</v>
      </c>
      <c r="R24">
        <v>18.422999999999998</v>
      </c>
      <c r="S24">
        <v>42.8</v>
      </c>
      <c r="T24">
        <v>22.2</v>
      </c>
    </row>
    <row r="25" spans="1:20" ht="15" thickBot="1" x14ac:dyDescent="0.35">
      <c r="A25" t="s">
        <v>71</v>
      </c>
      <c r="B25">
        <v>172.15</v>
      </c>
      <c r="C25">
        <v>100</v>
      </c>
      <c r="D25">
        <v>4.2569999999999997</v>
      </c>
      <c r="E25">
        <v>0.35499999999999998</v>
      </c>
      <c r="F25">
        <v>76.757999999999996</v>
      </c>
      <c r="G25">
        <v>5.1749999999999998</v>
      </c>
      <c r="H25">
        <v>64.936000000000007</v>
      </c>
      <c r="I25">
        <v>53.084000000000003</v>
      </c>
      <c r="J25">
        <v>2.02</v>
      </c>
      <c r="K25">
        <v>230.404</v>
      </c>
      <c r="L25">
        <v>2.9049999999999998</v>
      </c>
      <c r="M25">
        <v>52.838000000000001</v>
      </c>
      <c r="N25">
        <v>2.9540000000000002</v>
      </c>
      <c r="O25">
        <v>0.89900000000000002</v>
      </c>
      <c r="P25">
        <v>2.1110000000000002</v>
      </c>
      <c r="Q25">
        <v>0</v>
      </c>
      <c r="R25">
        <v>18.436</v>
      </c>
      <c r="S25">
        <v>42.8</v>
      </c>
      <c r="T25">
        <v>22.2</v>
      </c>
    </row>
    <row r="26" spans="1:20" ht="15" thickBot="1" x14ac:dyDescent="0.35">
      <c r="A26" t="s">
        <v>0</v>
      </c>
      <c r="B26" s="1">
        <f t="shared" ref="B26:S26" si="0">AVERAGE(B6:B25)</f>
        <v>171.71559999999997</v>
      </c>
      <c r="C26" s="1">
        <f t="shared" si="0"/>
        <v>100</v>
      </c>
      <c r="D26" s="1">
        <f t="shared" si="0"/>
        <v>6.2256000000000009</v>
      </c>
      <c r="E26" s="10">
        <f t="shared" si="0"/>
        <v>0.35700000000000004</v>
      </c>
      <c r="F26" s="1">
        <f t="shared" si="0"/>
        <v>75.833850000000012</v>
      </c>
      <c r="G26" s="1">
        <f t="shared" si="0"/>
        <v>3.2527999999999997</v>
      </c>
      <c r="H26" s="10">
        <f t="shared" si="0"/>
        <v>64.927249999999987</v>
      </c>
      <c r="I26" s="1">
        <f t="shared" si="0"/>
        <v>51.732849999999999</v>
      </c>
      <c r="J26" s="8">
        <f t="shared" si="0"/>
        <v>2.0198</v>
      </c>
      <c r="K26" s="1">
        <f t="shared" si="0"/>
        <v>230.57765000000001</v>
      </c>
      <c r="L26" s="1">
        <f t="shared" si="0"/>
        <v>2.9432999999999998</v>
      </c>
      <c r="M26" s="1">
        <f t="shared" si="0"/>
        <v>52.933000000000007</v>
      </c>
      <c r="N26" s="1">
        <f t="shared" si="0"/>
        <v>2.9530000000000003</v>
      </c>
      <c r="O26" s="1">
        <f t="shared" si="0"/>
        <v>0.88880000000000003</v>
      </c>
      <c r="P26" s="1">
        <f t="shared" si="0"/>
        <v>2.1005500000000006</v>
      </c>
      <c r="Q26" s="1">
        <f t="shared" si="0"/>
        <v>0</v>
      </c>
      <c r="R26" s="1">
        <f t="shared" si="0"/>
        <v>18.446750000000002</v>
      </c>
      <c r="S26" s="1">
        <f t="shared" si="0"/>
        <v>42.784999999999982</v>
      </c>
      <c r="T26" s="8">
        <f>AVERAGE(T6:T25)</f>
        <v>22.199999999999992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1.2117500000000005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7B8E-47A8-4ED1-91F7-8A18BD7200CA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4" sqref="J34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0.42484953703703704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69.663013803297858</v>
      </c>
      <c r="M2" s="8">
        <f>(H26*0.001*60)*(K2/100)*(G2/I2)</f>
        <v>2.1492477801959469</v>
      </c>
      <c r="O2" s="9">
        <f>100*((E26*C2)/((E26*C2)+(M2*E2)))</f>
        <v>13.274700822804633</v>
      </c>
      <c r="Q2" s="10">
        <f>100*J26*(1/(((C2/3.6)*E26)+((E2/3.6)*M2)))</f>
        <v>12.135443351445295</v>
      </c>
      <c r="S2" s="6">
        <v>3.54</v>
      </c>
      <c r="U2" s="10">
        <f>100*((((G26*0.001*60)*(C26-D26)*(S2/3.6)))/(((C2/3.6)*E26)+((E2/3.6)*M2)))</f>
        <v>53.112768569850466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72</v>
      </c>
      <c r="B6">
        <v>202.50899999999999</v>
      </c>
      <c r="C6">
        <v>100</v>
      </c>
      <c r="D6">
        <v>12.247</v>
      </c>
      <c r="E6">
        <v>0.38300000000000001</v>
      </c>
      <c r="F6">
        <v>77.185000000000002</v>
      </c>
      <c r="G6">
        <v>2.5329999999999999</v>
      </c>
      <c r="H6">
        <v>71.843000000000004</v>
      </c>
      <c r="I6">
        <v>51.814999999999998</v>
      </c>
      <c r="J6">
        <v>4.1740000000000004</v>
      </c>
      <c r="K6">
        <v>230.25700000000001</v>
      </c>
      <c r="L6">
        <v>5.8959999999999999</v>
      </c>
      <c r="M6">
        <v>52.993000000000002</v>
      </c>
      <c r="N6">
        <v>5.984</v>
      </c>
      <c r="O6">
        <v>0.91700000000000004</v>
      </c>
      <c r="P6">
        <v>1.9730000000000001</v>
      </c>
      <c r="Q6">
        <v>0</v>
      </c>
      <c r="R6">
        <v>20.632000000000001</v>
      </c>
      <c r="S6">
        <v>47.4</v>
      </c>
      <c r="T6">
        <v>26.2</v>
      </c>
    </row>
    <row r="7" spans="1:21" x14ac:dyDescent="0.3">
      <c r="A7" t="s">
        <v>73</v>
      </c>
      <c r="B7">
        <v>202.184</v>
      </c>
      <c r="C7">
        <v>100</v>
      </c>
      <c r="D7">
        <v>11.451000000000001</v>
      </c>
      <c r="E7">
        <v>0.39</v>
      </c>
      <c r="F7">
        <v>76.804000000000002</v>
      </c>
      <c r="G7">
        <v>2.57</v>
      </c>
      <c r="H7">
        <v>72.022999999999996</v>
      </c>
      <c r="I7">
        <v>51.783000000000001</v>
      </c>
      <c r="J7">
        <v>4.1820000000000004</v>
      </c>
      <c r="K7">
        <v>230.667</v>
      </c>
      <c r="L7">
        <v>5.891</v>
      </c>
      <c r="M7">
        <v>52.896999999999998</v>
      </c>
      <c r="N7">
        <v>5.9870000000000001</v>
      </c>
      <c r="O7">
        <v>0.90800000000000003</v>
      </c>
      <c r="P7">
        <v>1.9990000000000001</v>
      </c>
      <c r="Q7">
        <v>0</v>
      </c>
      <c r="R7">
        <v>20.664999999999999</v>
      </c>
      <c r="S7">
        <v>47.4</v>
      </c>
      <c r="T7">
        <v>26.2</v>
      </c>
    </row>
    <row r="8" spans="1:21" x14ac:dyDescent="0.3">
      <c r="A8" t="s">
        <v>74</v>
      </c>
      <c r="B8">
        <v>202.227</v>
      </c>
      <c r="C8">
        <v>100</v>
      </c>
      <c r="D8">
        <v>10.643000000000001</v>
      </c>
      <c r="E8">
        <v>0.35499999999999998</v>
      </c>
      <c r="F8">
        <v>76.876000000000005</v>
      </c>
      <c r="G8">
        <v>2.6819999999999999</v>
      </c>
      <c r="H8">
        <v>72.087999999999994</v>
      </c>
      <c r="I8">
        <v>51.713000000000001</v>
      </c>
      <c r="J8">
        <v>4.1760000000000002</v>
      </c>
      <c r="K8">
        <v>230.24</v>
      </c>
      <c r="L8">
        <v>5.8739999999999997</v>
      </c>
      <c r="M8">
        <v>52.889000000000003</v>
      </c>
      <c r="N8">
        <v>5.99</v>
      </c>
      <c r="O8">
        <v>0.89300000000000002</v>
      </c>
      <c r="P8">
        <v>1.992</v>
      </c>
      <c r="Q8">
        <v>0</v>
      </c>
      <c r="R8">
        <v>20.709</v>
      </c>
      <c r="S8">
        <v>47.4</v>
      </c>
      <c r="T8">
        <v>26.2</v>
      </c>
    </row>
    <row r="9" spans="1:21" x14ac:dyDescent="0.3">
      <c r="A9" t="s">
        <v>75</v>
      </c>
      <c r="B9">
        <v>201.87299999999999</v>
      </c>
      <c r="C9">
        <v>100</v>
      </c>
      <c r="D9">
        <v>10.473000000000001</v>
      </c>
      <c r="E9">
        <v>0.38200000000000001</v>
      </c>
      <c r="F9">
        <v>77.463999999999999</v>
      </c>
      <c r="G9">
        <v>2.8940000000000001</v>
      </c>
      <c r="H9">
        <v>72.268000000000001</v>
      </c>
      <c r="I9">
        <v>51.634999999999998</v>
      </c>
      <c r="J9">
        <v>4.1840000000000002</v>
      </c>
      <c r="K9">
        <v>230.61799999999999</v>
      </c>
      <c r="L9">
        <v>5.88</v>
      </c>
      <c r="M9">
        <v>52.963999999999999</v>
      </c>
      <c r="N9">
        <v>5.9880000000000004</v>
      </c>
      <c r="O9">
        <v>0.90400000000000003</v>
      </c>
      <c r="P9">
        <v>1.9810000000000001</v>
      </c>
      <c r="Q9">
        <v>0</v>
      </c>
      <c r="R9">
        <v>20.763000000000002</v>
      </c>
      <c r="S9">
        <v>47.4</v>
      </c>
      <c r="T9">
        <v>26.2</v>
      </c>
    </row>
    <row r="10" spans="1:21" x14ac:dyDescent="0.3">
      <c r="A10" t="s">
        <v>76</v>
      </c>
      <c r="B10">
        <v>202.26300000000001</v>
      </c>
      <c r="C10">
        <v>100</v>
      </c>
      <c r="D10">
        <v>10.252000000000001</v>
      </c>
      <c r="E10">
        <v>0.371</v>
      </c>
      <c r="F10">
        <v>76.373999999999995</v>
      </c>
      <c r="G10">
        <v>2.9249999999999998</v>
      </c>
      <c r="H10">
        <v>72.290999999999997</v>
      </c>
      <c r="I10">
        <v>51.569000000000003</v>
      </c>
      <c r="J10">
        <v>4.1749999999999998</v>
      </c>
      <c r="K10">
        <v>230.25700000000001</v>
      </c>
      <c r="L10">
        <v>5.8789999999999996</v>
      </c>
      <c r="M10">
        <v>52.771999999999998</v>
      </c>
      <c r="N10">
        <v>5.9859999999999998</v>
      </c>
      <c r="O10">
        <v>0.89800000000000002</v>
      </c>
      <c r="P10">
        <v>1.992</v>
      </c>
      <c r="Q10">
        <v>0</v>
      </c>
      <c r="R10">
        <v>20.803999999999998</v>
      </c>
      <c r="S10">
        <v>47.4</v>
      </c>
      <c r="T10">
        <v>26.2</v>
      </c>
    </row>
    <row r="11" spans="1:21" x14ac:dyDescent="0.3">
      <c r="A11" t="s">
        <v>77</v>
      </c>
      <c r="B11">
        <v>202.52699999999999</v>
      </c>
      <c r="C11">
        <v>100</v>
      </c>
      <c r="D11">
        <v>9.99</v>
      </c>
      <c r="E11">
        <v>0.39900000000000002</v>
      </c>
      <c r="F11">
        <v>76.751999999999995</v>
      </c>
      <c r="G11">
        <v>3.05</v>
      </c>
      <c r="H11">
        <v>72.3</v>
      </c>
      <c r="I11">
        <v>51.594000000000001</v>
      </c>
      <c r="J11">
        <v>4.1829999999999998</v>
      </c>
      <c r="K11">
        <v>230.601</v>
      </c>
      <c r="L11">
        <v>5.89</v>
      </c>
      <c r="M11">
        <v>52.914000000000001</v>
      </c>
      <c r="N11">
        <v>5.992</v>
      </c>
      <c r="O11">
        <v>0.88900000000000001</v>
      </c>
      <c r="P11">
        <v>1.9970000000000001</v>
      </c>
      <c r="Q11">
        <v>0</v>
      </c>
      <c r="R11">
        <v>20.812000000000001</v>
      </c>
      <c r="S11">
        <v>47.4</v>
      </c>
      <c r="T11">
        <v>26.2</v>
      </c>
    </row>
    <row r="12" spans="1:21" x14ac:dyDescent="0.3">
      <c r="A12" t="s">
        <v>78</v>
      </c>
      <c r="B12">
        <v>202.40700000000001</v>
      </c>
      <c r="C12">
        <v>100</v>
      </c>
      <c r="D12">
        <v>9.6180000000000003</v>
      </c>
      <c r="E12">
        <v>0.39400000000000002</v>
      </c>
      <c r="F12">
        <v>77.254000000000005</v>
      </c>
      <c r="G12">
        <v>3.08</v>
      </c>
      <c r="H12">
        <v>72.281999999999996</v>
      </c>
      <c r="I12">
        <v>51.499000000000002</v>
      </c>
      <c r="J12">
        <v>4.1779999999999999</v>
      </c>
      <c r="K12">
        <v>230.404</v>
      </c>
      <c r="L12">
        <v>5.89</v>
      </c>
      <c r="M12">
        <v>52.945999999999998</v>
      </c>
      <c r="N12">
        <v>5.9889999999999999</v>
      </c>
      <c r="O12">
        <v>0.88400000000000001</v>
      </c>
      <c r="P12">
        <v>2.0019999999999998</v>
      </c>
      <c r="Q12">
        <v>0</v>
      </c>
      <c r="R12">
        <v>20.844999999999999</v>
      </c>
      <c r="S12">
        <v>47.4</v>
      </c>
      <c r="T12">
        <v>26.2</v>
      </c>
    </row>
    <row r="13" spans="1:21" x14ac:dyDescent="0.3">
      <c r="A13" t="s">
        <v>79</v>
      </c>
      <c r="B13">
        <v>202.41800000000001</v>
      </c>
      <c r="C13">
        <v>100</v>
      </c>
      <c r="D13">
        <v>9.4939999999999998</v>
      </c>
      <c r="E13">
        <v>0.38600000000000001</v>
      </c>
      <c r="F13">
        <v>76.120999999999995</v>
      </c>
      <c r="G13">
        <v>2.9380000000000002</v>
      </c>
      <c r="H13">
        <v>72.215999999999994</v>
      </c>
      <c r="I13">
        <v>51.494999999999997</v>
      </c>
      <c r="J13">
        <v>4.181</v>
      </c>
      <c r="K13">
        <v>230.684</v>
      </c>
      <c r="L13">
        <v>5.8869999999999996</v>
      </c>
      <c r="M13">
        <v>52.859000000000002</v>
      </c>
      <c r="N13">
        <v>5.9850000000000003</v>
      </c>
      <c r="O13">
        <v>0.878</v>
      </c>
      <c r="P13">
        <v>1.9990000000000001</v>
      </c>
      <c r="Q13">
        <v>0</v>
      </c>
      <c r="R13">
        <v>20.849</v>
      </c>
      <c r="S13">
        <v>47.5</v>
      </c>
      <c r="T13">
        <v>26.2</v>
      </c>
    </row>
    <row r="14" spans="1:21" x14ac:dyDescent="0.3">
      <c r="A14" t="s">
        <v>80</v>
      </c>
      <c r="B14">
        <v>202.10300000000001</v>
      </c>
      <c r="C14">
        <v>100</v>
      </c>
      <c r="D14">
        <v>9.5329999999999995</v>
      </c>
      <c r="E14">
        <v>0.39700000000000002</v>
      </c>
      <c r="F14">
        <v>76.103999999999999</v>
      </c>
      <c r="G14">
        <v>2.9710000000000001</v>
      </c>
      <c r="H14">
        <v>72.299000000000007</v>
      </c>
      <c r="I14">
        <v>51.548999999999999</v>
      </c>
      <c r="J14">
        <v>4.1769999999999996</v>
      </c>
      <c r="K14">
        <v>230.322</v>
      </c>
      <c r="L14">
        <v>5.8879999999999999</v>
      </c>
      <c r="M14">
        <v>52.887</v>
      </c>
      <c r="N14">
        <v>5.9850000000000003</v>
      </c>
      <c r="O14">
        <v>0.89500000000000002</v>
      </c>
      <c r="P14">
        <v>2.008</v>
      </c>
      <c r="Q14">
        <v>0</v>
      </c>
      <c r="R14">
        <v>20.835000000000001</v>
      </c>
      <c r="S14">
        <v>47.4</v>
      </c>
      <c r="T14">
        <v>26.2</v>
      </c>
    </row>
    <row r="15" spans="1:21" x14ac:dyDescent="0.3">
      <c r="A15" t="s">
        <v>81</v>
      </c>
      <c r="B15">
        <v>202.84700000000001</v>
      </c>
      <c r="C15">
        <v>100</v>
      </c>
      <c r="D15">
        <v>9.3559999999999999</v>
      </c>
      <c r="E15">
        <v>0.38700000000000001</v>
      </c>
      <c r="F15">
        <v>77.185000000000002</v>
      </c>
      <c r="G15">
        <v>3.569</v>
      </c>
      <c r="H15">
        <v>72.25</v>
      </c>
      <c r="I15">
        <v>51.585000000000001</v>
      </c>
      <c r="J15">
        <v>4.181</v>
      </c>
      <c r="K15">
        <v>230.7</v>
      </c>
      <c r="L15">
        <v>5.8959999999999999</v>
      </c>
      <c r="M15">
        <v>52.761000000000003</v>
      </c>
      <c r="N15">
        <v>5.9889999999999999</v>
      </c>
      <c r="O15">
        <v>0.88600000000000001</v>
      </c>
      <c r="P15">
        <v>1.9950000000000001</v>
      </c>
      <c r="Q15">
        <v>0</v>
      </c>
      <c r="R15">
        <v>20.791</v>
      </c>
      <c r="S15">
        <v>47.4</v>
      </c>
      <c r="T15">
        <v>26.2</v>
      </c>
    </row>
    <row r="16" spans="1:21" x14ac:dyDescent="0.3">
      <c r="A16" t="s">
        <v>82</v>
      </c>
      <c r="B16">
        <v>202.482</v>
      </c>
      <c r="C16">
        <v>100</v>
      </c>
      <c r="D16">
        <v>9.0429999999999993</v>
      </c>
      <c r="E16">
        <v>0.39</v>
      </c>
      <c r="F16">
        <v>77.674999999999997</v>
      </c>
      <c r="G16">
        <v>3.5150000000000001</v>
      </c>
      <c r="H16">
        <v>72.061000000000007</v>
      </c>
      <c r="I16">
        <v>51.59</v>
      </c>
      <c r="J16">
        <v>4.1779999999999999</v>
      </c>
      <c r="K16">
        <v>230.273</v>
      </c>
      <c r="L16">
        <v>5.8849999999999998</v>
      </c>
      <c r="M16">
        <v>52.92</v>
      </c>
      <c r="N16">
        <v>5.9850000000000003</v>
      </c>
      <c r="O16">
        <v>0.88400000000000001</v>
      </c>
      <c r="P16">
        <v>2.004</v>
      </c>
      <c r="Q16">
        <v>0</v>
      </c>
      <c r="R16">
        <v>20.774999999999999</v>
      </c>
      <c r="S16">
        <v>47.4</v>
      </c>
      <c r="T16">
        <v>26.2</v>
      </c>
    </row>
    <row r="17" spans="1:20" x14ac:dyDescent="0.3">
      <c r="A17" t="s">
        <v>83</v>
      </c>
      <c r="B17">
        <v>202.97499999999999</v>
      </c>
      <c r="C17">
        <v>100</v>
      </c>
      <c r="D17">
        <v>8.7149999999999999</v>
      </c>
      <c r="E17">
        <v>0.37</v>
      </c>
      <c r="F17">
        <v>77.524000000000001</v>
      </c>
      <c r="G17">
        <v>3.47</v>
      </c>
      <c r="H17">
        <v>71.888000000000005</v>
      </c>
      <c r="I17">
        <v>51.585000000000001</v>
      </c>
      <c r="J17">
        <v>4.18</v>
      </c>
      <c r="K17">
        <v>230.63399999999999</v>
      </c>
      <c r="L17">
        <v>5.8890000000000002</v>
      </c>
      <c r="M17">
        <v>52.710999999999999</v>
      </c>
      <c r="N17">
        <v>5.9859999999999998</v>
      </c>
      <c r="O17">
        <v>0.877</v>
      </c>
      <c r="P17">
        <v>2.0070000000000001</v>
      </c>
      <c r="Q17">
        <v>0</v>
      </c>
      <c r="R17">
        <v>20.754000000000001</v>
      </c>
      <c r="S17">
        <v>47.4</v>
      </c>
      <c r="T17">
        <v>26.2</v>
      </c>
    </row>
    <row r="18" spans="1:20" x14ac:dyDescent="0.3">
      <c r="A18" t="s">
        <v>84</v>
      </c>
      <c r="B18">
        <v>202.43899999999999</v>
      </c>
      <c r="C18">
        <v>100</v>
      </c>
      <c r="D18">
        <v>8.57</v>
      </c>
      <c r="E18">
        <v>0.40200000000000002</v>
      </c>
      <c r="F18">
        <v>77.527000000000001</v>
      </c>
      <c r="G18">
        <v>3.84</v>
      </c>
      <c r="H18">
        <v>72.177000000000007</v>
      </c>
      <c r="I18">
        <v>51.651000000000003</v>
      </c>
      <c r="J18">
        <v>4.1779999999999999</v>
      </c>
      <c r="K18">
        <v>230.404</v>
      </c>
      <c r="L18">
        <v>5.8949999999999996</v>
      </c>
      <c r="M18">
        <v>52.82</v>
      </c>
      <c r="N18">
        <v>5.9790000000000001</v>
      </c>
      <c r="O18">
        <v>8.6999999999999994E-2</v>
      </c>
      <c r="P18">
        <v>2.0779999999999998</v>
      </c>
      <c r="Q18">
        <v>0</v>
      </c>
      <c r="R18">
        <v>20.696999999999999</v>
      </c>
      <c r="S18">
        <v>47.4</v>
      </c>
      <c r="T18">
        <v>26.2</v>
      </c>
    </row>
    <row r="19" spans="1:20" x14ac:dyDescent="0.3">
      <c r="A19" t="s">
        <v>85</v>
      </c>
      <c r="B19">
        <v>203.327</v>
      </c>
      <c r="C19">
        <v>100</v>
      </c>
      <c r="D19">
        <v>8.5640000000000001</v>
      </c>
      <c r="E19">
        <v>0.39200000000000002</v>
      </c>
      <c r="F19">
        <v>77.296999999999997</v>
      </c>
      <c r="G19">
        <v>3.8319999999999999</v>
      </c>
      <c r="H19">
        <v>71.846999999999994</v>
      </c>
      <c r="I19">
        <v>51.594000000000001</v>
      </c>
      <c r="J19">
        <v>4.18</v>
      </c>
      <c r="K19">
        <v>233.46</v>
      </c>
      <c r="L19">
        <v>5.9130000000000003</v>
      </c>
      <c r="M19">
        <v>52.78</v>
      </c>
      <c r="N19">
        <v>5.9850000000000003</v>
      </c>
      <c r="O19">
        <v>0.90100000000000002</v>
      </c>
      <c r="P19">
        <v>2.0259999999999998</v>
      </c>
      <c r="Q19">
        <v>0</v>
      </c>
      <c r="R19">
        <v>20.646999999999998</v>
      </c>
      <c r="S19">
        <v>47.4</v>
      </c>
      <c r="T19">
        <v>26.2</v>
      </c>
    </row>
    <row r="20" spans="1:20" x14ac:dyDescent="0.3">
      <c r="A20" t="s">
        <v>86</v>
      </c>
      <c r="B20">
        <v>203.00800000000001</v>
      </c>
      <c r="C20">
        <v>100</v>
      </c>
      <c r="D20">
        <v>8.4819999999999993</v>
      </c>
      <c r="E20">
        <v>0.38300000000000001</v>
      </c>
      <c r="F20">
        <v>77.215000000000003</v>
      </c>
      <c r="G20">
        <v>3.4609999999999999</v>
      </c>
      <c r="H20">
        <v>71.602000000000004</v>
      </c>
      <c r="I20">
        <v>51.302</v>
      </c>
      <c r="J20">
        <v>4.1820000000000004</v>
      </c>
      <c r="K20">
        <v>230.51900000000001</v>
      </c>
      <c r="L20">
        <v>5.8890000000000002</v>
      </c>
      <c r="M20">
        <v>52.869</v>
      </c>
      <c r="N20">
        <v>5.9870000000000001</v>
      </c>
      <c r="O20">
        <v>0.88500000000000001</v>
      </c>
      <c r="P20">
        <v>1.9970000000000001</v>
      </c>
      <c r="Q20">
        <v>0</v>
      </c>
      <c r="R20">
        <v>20.577000000000002</v>
      </c>
      <c r="S20">
        <v>47.4</v>
      </c>
      <c r="T20">
        <v>26.2</v>
      </c>
    </row>
    <row r="21" spans="1:20" x14ac:dyDescent="0.3">
      <c r="A21" t="s">
        <v>87</v>
      </c>
      <c r="B21">
        <v>203.089</v>
      </c>
      <c r="C21">
        <v>100</v>
      </c>
      <c r="D21">
        <v>8.4290000000000003</v>
      </c>
      <c r="E21">
        <v>0.39600000000000002</v>
      </c>
      <c r="F21">
        <v>77.632000000000005</v>
      </c>
      <c r="G21">
        <v>3.87</v>
      </c>
      <c r="H21">
        <v>71.927999999999997</v>
      </c>
      <c r="I21">
        <v>51.966999999999999</v>
      </c>
      <c r="J21">
        <v>4.1790000000000003</v>
      </c>
      <c r="K21">
        <v>230.56899999999999</v>
      </c>
      <c r="L21">
        <v>5.875</v>
      </c>
      <c r="M21">
        <v>52.82</v>
      </c>
      <c r="N21">
        <v>5.9909999999999997</v>
      </c>
      <c r="O21">
        <v>0.90100000000000002</v>
      </c>
      <c r="P21">
        <v>1.9870000000000001</v>
      </c>
      <c r="Q21">
        <v>0</v>
      </c>
      <c r="R21">
        <v>20.501000000000001</v>
      </c>
      <c r="S21">
        <v>47.4</v>
      </c>
      <c r="T21">
        <v>26.2</v>
      </c>
    </row>
    <row r="22" spans="1:20" x14ac:dyDescent="0.3">
      <c r="A22" t="s">
        <v>88</v>
      </c>
      <c r="B22">
        <v>203.215</v>
      </c>
      <c r="C22">
        <v>100</v>
      </c>
      <c r="D22">
        <v>8.4689999999999994</v>
      </c>
      <c r="E22">
        <v>0.374</v>
      </c>
      <c r="F22">
        <v>77.034000000000006</v>
      </c>
      <c r="G22">
        <v>4.3070000000000004</v>
      </c>
      <c r="H22">
        <v>71.712999999999994</v>
      </c>
      <c r="I22">
        <v>51.914000000000001</v>
      </c>
      <c r="J22">
        <v>4.1820000000000004</v>
      </c>
      <c r="K22">
        <v>230.47</v>
      </c>
      <c r="L22">
        <v>5.8849999999999998</v>
      </c>
      <c r="M22">
        <v>52.759</v>
      </c>
      <c r="N22">
        <v>5.9790000000000001</v>
      </c>
      <c r="O22">
        <v>0.88100000000000001</v>
      </c>
      <c r="P22">
        <v>2.008</v>
      </c>
      <c r="Q22">
        <v>0</v>
      </c>
      <c r="R22">
        <v>20.405000000000001</v>
      </c>
      <c r="S22">
        <v>47.4</v>
      </c>
      <c r="T22">
        <v>26.2</v>
      </c>
    </row>
    <row r="23" spans="1:20" x14ac:dyDescent="0.3">
      <c r="A23" t="s">
        <v>89</v>
      </c>
      <c r="B23">
        <v>202.93199999999999</v>
      </c>
      <c r="C23">
        <v>100</v>
      </c>
      <c r="D23">
        <v>8.4689999999999994</v>
      </c>
      <c r="E23">
        <v>0.39500000000000002</v>
      </c>
      <c r="F23">
        <v>77.53</v>
      </c>
      <c r="G23">
        <v>4.2930000000000001</v>
      </c>
      <c r="H23">
        <v>71.655000000000001</v>
      </c>
      <c r="I23">
        <v>51.91</v>
      </c>
      <c r="J23">
        <v>4.18</v>
      </c>
      <c r="K23">
        <v>230.65100000000001</v>
      </c>
      <c r="L23">
        <v>5.8680000000000003</v>
      </c>
      <c r="M23">
        <v>52.932000000000002</v>
      </c>
      <c r="N23">
        <v>5.9880000000000004</v>
      </c>
      <c r="O23">
        <v>0.88700000000000001</v>
      </c>
      <c r="P23">
        <v>1.9850000000000001</v>
      </c>
      <c r="Q23">
        <v>0</v>
      </c>
      <c r="R23">
        <v>20.312000000000001</v>
      </c>
      <c r="S23">
        <v>47.4</v>
      </c>
      <c r="T23">
        <v>26.2</v>
      </c>
    </row>
    <row r="24" spans="1:20" x14ac:dyDescent="0.3">
      <c r="A24" t="s">
        <v>90</v>
      </c>
      <c r="B24">
        <v>203.672</v>
      </c>
      <c r="C24">
        <v>100</v>
      </c>
      <c r="D24">
        <v>8.3339999999999996</v>
      </c>
      <c r="E24">
        <v>0.38400000000000001</v>
      </c>
      <c r="F24">
        <v>77.652000000000001</v>
      </c>
      <c r="G24">
        <v>4.3710000000000004</v>
      </c>
      <c r="H24">
        <v>71.606999999999999</v>
      </c>
      <c r="I24">
        <v>51.966999999999999</v>
      </c>
      <c r="J24">
        <v>4.181</v>
      </c>
      <c r="K24">
        <v>230.42099999999999</v>
      </c>
      <c r="L24">
        <v>5.8810000000000002</v>
      </c>
      <c r="M24">
        <v>52.783999999999999</v>
      </c>
      <c r="N24">
        <v>5.9870000000000001</v>
      </c>
      <c r="O24">
        <v>0.90100000000000002</v>
      </c>
      <c r="P24">
        <v>2.0019999999999998</v>
      </c>
      <c r="Q24">
        <v>0</v>
      </c>
      <c r="R24">
        <v>20.282</v>
      </c>
      <c r="S24">
        <v>47.4</v>
      </c>
      <c r="T24">
        <v>26.2</v>
      </c>
    </row>
    <row r="25" spans="1:20" ht="15" thickBot="1" x14ac:dyDescent="0.35">
      <c r="A25" t="s">
        <v>91</v>
      </c>
      <c r="B25">
        <v>203.471</v>
      </c>
      <c r="C25">
        <v>100</v>
      </c>
      <c r="D25">
        <v>8.34</v>
      </c>
      <c r="E25">
        <v>0.379</v>
      </c>
      <c r="F25">
        <v>78.061999999999998</v>
      </c>
      <c r="G25">
        <v>4.2880000000000003</v>
      </c>
      <c r="H25">
        <v>71.424999999999997</v>
      </c>
      <c r="I25">
        <v>51.93</v>
      </c>
      <c r="J25">
        <v>4.1790000000000003</v>
      </c>
      <c r="K25">
        <v>230.50299999999999</v>
      </c>
      <c r="L25">
        <v>5.8789999999999996</v>
      </c>
      <c r="M25">
        <v>52.948</v>
      </c>
      <c r="N25">
        <v>5.9909999999999997</v>
      </c>
      <c r="O25">
        <v>0.88400000000000001</v>
      </c>
      <c r="P25">
        <v>1.988</v>
      </c>
      <c r="Q25">
        <v>0</v>
      </c>
      <c r="R25">
        <v>20.268999999999998</v>
      </c>
      <c r="S25">
        <v>47.5</v>
      </c>
      <c r="T25">
        <v>26.2</v>
      </c>
    </row>
    <row r="26" spans="1:20" ht="15" thickBot="1" x14ac:dyDescent="0.35">
      <c r="A26" t="s">
        <v>0</v>
      </c>
      <c r="B26" s="1">
        <f t="shared" ref="B26:S26" si="0">AVERAGE(B6:B25)</f>
        <v>202.69839999999999</v>
      </c>
      <c r="C26" s="1">
        <f t="shared" si="0"/>
        <v>100</v>
      </c>
      <c r="D26" s="1">
        <f t="shared" si="0"/>
        <v>9.4235999999999986</v>
      </c>
      <c r="E26" s="10">
        <f t="shared" si="0"/>
        <v>0.38545000000000007</v>
      </c>
      <c r="F26" s="1">
        <f t="shared" si="0"/>
        <v>77.163349999999994</v>
      </c>
      <c r="G26" s="1">
        <f t="shared" si="0"/>
        <v>3.4229499999999993</v>
      </c>
      <c r="H26" s="10">
        <f t="shared" si="0"/>
        <v>71.98814999999999</v>
      </c>
      <c r="I26" s="1">
        <f t="shared" si="0"/>
        <v>51.68235</v>
      </c>
      <c r="J26" s="8">
        <f t="shared" si="0"/>
        <v>4.1794999999999991</v>
      </c>
      <c r="K26" s="1">
        <f t="shared" si="0"/>
        <v>230.63269999999997</v>
      </c>
      <c r="L26" s="1">
        <f t="shared" si="0"/>
        <v>5.8864999999999998</v>
      </c>
      <c r="M26" s="1">
        <f t="shared" si="0"/>
        <v>52.861250000000005</v>
      </c>
      <c r="N26" s="1">
        <f t="shared" si="0"/>
        <v>5.9866499999999991</v>
      </c>
      <c r="O26" s="1">
        <f t="shared" si="0"/>
        <v>0.85200000000000009</v>
      </c>
      <c r="P26" s="1">
        <f t="shared" si="0"/>
        <v>2.0010000000000003</v>
      </c>
      <c r="Q26" s="1">
        <f t="shared" si="0"/>
        <v>0</v>
      </c>
      <c r="R26" s="1">
        <f t="shared" si="0"/>
        <v>20.646199999999997</v>
      </c>
      <c r="S26" s="1">
        <f t="shared" si="0"/>
        <v>47.409999999999982</v>
      </c>
      <c r="T26" s="8">
        <f>AVERAGE(T6:T25)</f>
        <v>26.199999999999996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1.1490000000000002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690F-2D50-4ADC-8898-5E422B236DC2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1" sqref="K31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0.42774305555555553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69.995969494379523</v>
      </c>
      <c r="M2" s="8">
        <f>(H26*0.001*60)*(K2/100)*(G2/I2)</f>
        <v>2.3359828579327164</v>
      </c>
      <c r="O2" s="9">
        <f>100*((E26*C2)/((E26*C2)+(M2*E2)))</f>
        <v>13.23440377717553</v>
      </c>
      <c r="Q2" s="10">
        <f>100*J26*(1/(((C2/3.6)*E26)+((E2/3.6)*M2)))</f>
        <v>15.808165139844279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92</v>
      </c>
      <c r="B6">
        <v>234.36600000000001</v>
      </c>
      <c r="C6">
        <v>100</v>
      </c>
      <c r="D6">
        <v>100</v>
      </c>
      <c r="E6">
        <v>0.41099999999999998</v>
      </c>
      <c r="F6">
        <v>78.378</v>
      </c>
      <c r="G6">
        <v>5.2629999999999999</v>
      </c>
      <c r="H6">
        <v>77.617999999999995</v>
      </c>
      <c r="I6">
        <v>52.222000000000001</v>
      </c>
      <c r="J6">
        <v>5.91</v>
      </c>
      <c r="K6">
        <v>230.536</v>
      </c>
      <c r="L6">
        <v>8.6739999999999995</v>
      </c>
      <c r="M6">
        <v>52.895000000000003</v>
      </c>
      <c r="N6">
        <v>8.4990000000000006</v>
      </c>
      <c r="O6">
        <v>0.91200000000000003</v>
      </c>
      <c r="P6">
        <v>1.917</v>
      </c>
      <c r="Q6">
        <v>0</v>
      </c>
      <c r="R6">
        <v>21.635000000000002</v>
      </c>
      <c r="S6">
        <v>51.4</v>
      </c>
      <c r="T6">
        <v>29.5</v>
      </c>
    </row>
    <row r="7" spans="1:21" x14ac:dyDescent="0.3">
      <c r="A7" t="s">
        <v>93</v>
      </c>
      <c r="B7">
        <v>234.76300000000001</v>
      </c>
      <c r="C7">
        <v>100</v>
      </c>
      <c r="D7">
        <v>100</v>
      </c>
      <c r="E7">
        <v>0.41399999999999998</v>
      </c>
      <c r="F7">
        <v>78.861000000000004</v>
      </c>
      <c r="G7">
        <v>5.476</v>
      </c>
      <c r="H7">
        <v>77.507999999999996</v>
      </c>
      <c r="I7">
        <v>52.061999999999998</v>
      </c>
      <c r="J7">
        <v>5.9180000000000001</v>
      </c>
      <c r="K7">
        <v>230.946</v>
      </c>
      <c r="L7">
        <v>8.69</v>
      </c>
      <c r="M7">
        <v>52.694000000000003</v>
      </c>
      <c r="N7">
        <v>8.5039999999999996</v>
      </c>
      <c r="O7">
        <v>0.90600000000000003</v>
      </c>
      <c r="P7">
        <v>1.925</v>
      </c>
      <c r="Q7">
        <v>0</v>
      </c>
      <c r="R7">
        <v>21.713000000000001</v>
      </c>
      <c r="S7">
        <v>51.4</v>
      </c>
      <c r="T7">
        <v>29.5</v>
      </c>
    </row>
    <row r="8" spans="1:21" x14ac:dyDescent="0.3">
      <c r="A8" t="s">
        <v>94</v>
      </c>
      <c r="B8">
        <v>235.13399999999999</v>
      </c>
      <c r="C8">
        <v>100</v>
      </c>
      <c r="D8">
        <v>100</v>
      </c>
      <c r="E8">
        <v>0.42</v>
      </c>
      <c r="F8">
        <v>79.087000000000003</v>
      </c>
      <c r="G8">
        <v>5.4809999999999999</v>
      </c>
      <c r="H8">
        <v>77.739999999999995</v>
      </c>
      <c r="I8">
        <v>51.728999999999999</v>
      </c>
      <c r="J8">
        <v>5.9109999999999996</v>
      </c>
      <c r="K8">
        <v>230.56899999999999</v>
      </c>
      <c r="L8">
        <v>8.6829999999999998</v>
      </c>
      <c r="M8">
        <v>52.83</v>
      </c>
      <c r="N8">
        <v>8.5</v>
      </c>
      <c r="O8">
        <v>0.90900000000000003</v>
      </c>
      <c r="P8">
        <v>1.915</v>
      </c>
      <c r="Q8">
        <v>0</v>
      </c>
      <c r="R8">
        <v>21.858000000000001</v>
      </c>
      <c r="S8">
        <v>51.4</v>
      </c>
      <c r="T8">
        <v>29.5</v>
      </c>
    </row>
    <row r="9" spans="1:21" x14ac:dyDescent="0.3">
      <c r="A9" t="s">
        <v>95</v>
      </c>
      <c r="B9">
        <v>234.756</v>
      </c>
      <c r="C9">
        <v>100</v>
      </c>
      <c r="D9">
        <v>100</v>
      </c>
      <c r="E9">
        <v>0.42499999999999999</v>
      </c>
      <c r="F9">
        <v>77.146000000000001</v>
      </c>
      <c r="G9">
        <v>5.2050000000000001</v>
      </c>
      <c r="H9">
        <v>78.114999999999995</v>
      </c>
      <c r="I9">
        <v>51.91</v>
      </c>
      <c r="J9">
        <v>5.9189999999999996</v>
      </c>
      <c r="K9">
        <v>230.83099999999999</v>
      </c>
      <c r="L9">
        <v>8.4339999999999993</v>
      </c>
      <c r="M9">
        <v>52.767000000000003</v>
      </c>
      <c r="N9">
        <v>8.4979999999999993</v>
      </c>
      <c r="O9">
        <v>0.88800000000000001</v>
      </c>
      <c r="P9">
        <v>1.9239999999999999</v>
      </c>
      <c r="Q9">
        <v>0</v>
      </c>
      <c r="R9">
        <v>22.154</v>
      </c>
      <c r="S9">
        <v>51.4</v>
      </c>
      <c r="T9">
        <v>29.5</v>
      </c>
    </row>
    <row r="10" spans="1:21" x14ac:dyDescent="0.3">
      <c r="A10" t="s">
        <v>96</v>
      </c>
      <c r="B10">
        <v>234.75299999999999</v>
      </c>
      <c r="C10">
        <v>100</v>
      </c>
      <c r="D10">
        <v>100</v>
      </c>
      <c r="E10">
        <v>0.41199999999999998</v>
      </c>
      <c r="F10">
        <v>78.194000000000003</v>
      </c>
      <c r="G10">
        <v>5.2990000000000004</v>
      </c>
      <c r="H10">
        <v>78.433000000000007</v>
      </c>
      <c r="I10">
        <v>52.168999999999997</v>
      </c>
      <c r="J10">
        <v>5.9089999999999998</v>
      </c>
      <c r="K10">
        <v>230.47</v>
      </c>
      <c r="L10">
        <v>8.4239999999999995</v>
      </c>
      <c r="M10">
        <v>52.781999999999996</v>
      </c>
      <c r="N10">
        <v>8.5030000000000001</v>
      </c>
      <c r="O10">
        <v>0.89800000000000002</v>
      </c>
      <c r="P10">
        <v>1.927</v>
      </c>
      <c r="Q10">
        <v>0</v>
      </c>
      <c r="R10">
        <v>22.375</v>
      </c>
      <c r="S10">
        <v>51.4</v>
      </c>
      <c r="T10">
        <v>29.5</v>
      </c>
    </row>
    <row r="11" spans="1:21" x14ac:dyDescent="0.3">
      <c r="A11" t="s">
        <v>97</v>
      </c>
      <c r="B11">
        <v>234.84899999999999</v>
      </c>
      <c r="C11">
        <v>100</v>
      </c>
      <c r="D11">
        <v>100</v>
      </c>
      <c r="E11">
        <v>0.41699999999999998</v>
      </c>
      <c r="F11">
        <v>79.061000000000007</v>
      </c>
      <c r="G11">
        <v>5.335</v>
      </c>
      <c r="H11">
        <v>78.462000000000003</v>
      </c>
      <c r="I11">
        <v>51.951000000000001</v>
      </c>
      <c r="J11">
        <v>5.9180000000000001</v>
      </c>
      <c r="K11">
        <v>230.79900000000001</v>
      </c>
      <c r="L11">
        <v>8.4450000000000003</v>
      </c>
      <c r="M11">
        <v>52.895000000000003</v>
      </c>
      <c r="N11">
        <v>8.4960000000000004</v>
      </c>
      <c r="O11">
        <v>0.90600000000000003</v>
      </c>
      <c r="P11">
        <v>1.9079999999999999</v>
      </c>
      <c r="Q11">
        <v>0</v>
      </c>
      <c r="R11">
        <v>22.448</v>
      </c>
      <c r="S11">
        <v>51.3</v>
      </c>
      <c r="T11">
        <v>29.5</v>
      </c>
    </row>
    <row r="12" spans="1:21" x14ac:dyDescent="0.3">
      <c r="A12" t="s">
        <v>98</v>
      </c>
      <c r="B12">
        <v>235.142</v>
      </c>
      <c r="C12">
        <v>100</v>
      </c>
      <c r="D12">
        <v>100</v>
      </c>
      <c r="E12">
        <v>0.39300000000000002</v>
      </c>
      <c r="F12">
        <v>79.257999999999996</v>
      </c>
      <c r="G12">
        <v>5.6109999999999998</v>
      </c>
      <c r="H12">
        <v>78.320999999999998</v>
      </c>
      <c r="I12">
        <v>51.947000000000003</v>
      </c>
      <c r="J12">
        <v>5.9109999999999996</v>
      </c>
      <c r="K12">
        <v>230.63399999999999</v>
      </c>
      <c r="L12">
        <v>8.6609999999999996</v>
      </c>
      <c r="M12">
        <v>52.835999999999999</v>
      </c>
      <c r="N12">
        <v>8.5</v>
      </c>
      <c r="O12">
        <v>0.878</v>
      </c>
      <c r="P12">
        <v>1.927</v>
      </c>
      <c r="Q12">
        <v>0</v>
      </c>
      <c r="R12">
        <v>22.443000000000001</v>
      </c>
      <c r="S12">
        <v>51.4</v>
      </c>
      <c r="T12">
        <v>29.5</v>
      </c>
    </row>
    <row r="13" spans="1:21" x14ac:dyDescent="0.3">
      <c r="A13" t="s">
        <v>99</v>
      </c>
      <c r="B13">
        <v>234.48599999999999</v>
      </c>
      <c r="C13">
        <v>100</v>
      </c>
      <c r="D13">
        <v>100</v>
      </c>
      <c r="E13">
        <v>0.41499999999999998</v>
      </c>
      <c r="F13">
        <v>79.087000000000003</v>
      </c>
      <c r="G13">
        <v>5.5629999999999997</v>
      </c>
      <c r="H13">
        <v>78.543999999999997</v>
      </c>
      <c r="I13">
        <v>53.137999999999998</v>
      </c>
      <c r="J13">
        <v>5.923</v>
      </c>
      <c r="K13">
        <v>230.84800000000001</v>
      </c>
      <c r="L13">
        <v>8.4580000000000002</v>
      </c>
      <c r="M13">
        <v>53.033000000000001</v>
      </c>
      <c r="N13">
        <v>8.4990000000000006</v>
      </c>
      <c r="O13">
        <v>0.92300000000000004</v>
      </c>
      <c r="P13">
        <v>1.931</v>
      </c>
      <c r="Q13">
        <v>0</v>
      </c>
      <c r="R13">
        <v>22.41</v>
      </c>
      <c r="S13">
        <v>51.3</v>
      </c>
      <c r="T13">
        <v>29.5</v>
      </c>
    </row>
    <row r="14" spans="1:21" x14ac:dyDescent="0.3">
      <c r="A14" t="s">
        <v>100</v>
      </c>
      <c r="B14">
        <v>234.404</v>
      </c>
      <c r="C14">
        <v>100</v>
      </c>
      <c r="D14">
        <v>100</v>
      </c>
      <c r="E14">
        <v>0.4</v>
      </c>
      <c r="F14">
        <v>79.278000000000006</v>
      </c>
      <c r="G14">
        <v>5.34</v>
      </c>
      <c r="H14">
        <v>78.38</v>
      </c>
      <c r="I14">
        <v>51.984000000000002</v>
      </c>
      <c r="J14">
        <v>5.9050000000000002</v>
      </c>
      <c r="K14">
        <v>230.47</v>
      </c>
      <c r="L14">
        <v>8.4550000000000001</v>
      </c>
      <c r="M14">
        <v>52.753</v>
      </c>
      <c r="N14">
        <v>8.4969999999999999</v>
      </c>
      <c r="O14">
        <v>0.90100000000000002</v>
      </c>
      <c r="P14">
        <v>2.2210000000000001</v>
      </c>
      <c r="Q14">
        <v>0</v>
      </c>
      <c r="R14">
        <v>22.359000000000002</v>
      </c>
      <c r="S14">
        <v>51.3</v>
      </c>
      <c r="T14">
        <v>29.5</v>
      </c>
    </row>
    <row r="15" spans="1:21" x14ac:dyDescent="0.3">
      <c r="A15" t="s">
        <v>101</v>
      </c>
      <c r="B15">
        <v>234.357</v>
      </c>
      <c r="C15">
        <v>100</v>
      </c>
      <c r="D15">
        <v>100</v>
      </c>
      <c r="E15">
        <v>0.44900000000000001</v>
      </c>
      <c r="F15">
        <v>78.388000000000005</v>
      </c>
      <c r="G15">
        <v>5.1310000000000002</v>
      </c>
      <c r="H15">
        <v>78.052000000000007</v>
      </c>
      <c r="I15">
        <v>51.683999999999997</v>
      </c>
      <c r="J15">
        <v>5.9189999999999996</v>
      </c>
      <c r="K15">
        <v>230.78200000000001</v>
      </c>
      <c r="L15">
        <v>8.4489999999999998</v>
      </c>
      <c r="M15">
        <v>52.860999999999997</v>
      </c>
      <c r="N15">
        <v>8.5009999999999994</v>
      </c>
      <c r="O15">
        <v>0.88400000000000001</v>
      </c>
      <c r="P15">
        <v>1.913</v>
      </c>
      <c r="Q15">
        <v>0</v>
      </c>
      <c r="R15">
        <v>22.222999999999999</v>
      </c>
      <c r="S15">
        <v>51.3</v>
      </c>
      <c r="T15">
        <v>29.5</v>
      </c>
    </row>
    <row r="16" spans="1:21" x14ac:dyDescent="0.3">
      <c r="A16" t="s">
        <v>102</v>
      </c>
      <c r="B16">
        <v>234.60400000000001</v>
      </c>
      <c r="C16">
        <v>100</v>
      </c>
      <c r="D16">
        <v>100</v>
      </c>
      <c r="E16">
        <v>0.42399999999999999</v>
      </c>
      <c r="F16">
        <v>78.945999999999998</v>
      </c>
      <c r="G16">
        <v>5.6520000000000001</v>
      </c>
      <c r="H16">
        <v>76.503</v>
      </c>
      <c r="I16">
        <v>52.859000000000002</v>
      </c>
      <c r="J16">
        <v>5.9059999999999997</v>
      </c>
      <c r="K16">
        <v>230.37200000000001</v>
      </c>
      <c r="L16">
        <v>8.4619999999999997</v>
      </c>
      <c r="M16">
        <v>52.843000000000004</v>
      </c>
      <c r="N16">
        <v>8.4930000000000003</v>
      </c>
      <c r="O16">
        <v>0.88900000000000001</v>
      </c>
      <c r="P16">
        <v>1.901</v>
      </c>
      <c r="Q16">
        <v>0</v>
      </c>
      <c r="R16">
        <v>22.015000000000001</v>
      </c>
      <c r="S16">
        <v>51.3</v>
      </c>
      <c r="T16">
        <v>29.5</v>
      </c>
    </row>
    <row r="17" spans="1:20" x14ac:dyDescent="0.3">
      <c r="A17" t="s">
        <v>103</v>
      </c>
      <c r="B17">
        <v>234.92099999999999</v>
      </c>
      <c r="C17">
        <v>100</v>
      </c>
      <c r="D17">
        <v>100</v>
      </c>
      <c r="E17">
        <v>0.40300000000000002</v>
      </c>
      <c r="F17">
        <v>78.656999999999996</v>
      </c>
      <c r="G17">
        <v>5.1260000000000003</v>
      </c>
      <c r="H17">
        <v>77.540000000000006</v>
      </c>
      <c r="I17">
        <v>52.024999999999999</v>
      </c>
      <c r="J17">
        <v>5.9189999999999996</v>
      </c>
      <c r="K17">
        <v>230.83099999999999</v>
      </c>
      <c r="L17">
        <v>8.4860000000000007</v>
      </c>
      <c r="M17">
        <v>52.869</v>
      </c>
      <c r="N17">
        <v>8.5079999999999991</v>
      </c>
      <c r="O17">
        <v>0.875</v>
      </c>
      <c r="P17">
        <v>1.927</v>
      </c>
      <c r="Q17">
        <v>0</v>
      </c>
      <c r="R17">
        <v>21.754999999999999</v>
      </c>
      <c r="S17">
        <v>51.5</v>
      </c>
      <c r="T17">
        <v>29.5</v>
      </c>
    </row>
    <row r="18" spans="1:20" x14ac:dyDescent="0.3">
      <c r="A18" t="s">
        <v>104</v>
      </c>
      <c r="B18">
        <v>234.24199999999999</v>
      </c>
      <c r="C18">
        <v>100</v>
      </c>
      <c r="D18">
        <v>100</v>
      </c>
      <c r="E18">
        <v>0.44500000000000001</v>
      </c>
      <c r="F18">
        <v>78.718999999999994</v>
      </c>
      <c r="G18">
        <v>4.9870000000000001</v>
      </c>
      <c r="H18">
        <v>77.528000000000006</v>
      </c>
      <c r="I18">
        <v>51.828000000000003</v>
      </c>
      <c r="J18">
        <v>5.91</v>
      </c>
      <c r="K18">
        <v>230.50299999999999</v>
      </c>
      <c r="L18">
        <v>8.4760000000000009</v>
      </c>
      <c r="M18">
        <v>52.921999999999997</v>
      </c>
      <c r="N18">
        <v>8.4960000000000004</v>
      </c>
      <c r="O18">
        <v>0.88400000000000001</v>
      </c>
      <c r="P18">
        <v>1.913</v>
      </c>
      <c r="Q18">
        <v>0</v>
      </c>
      <c r="R18">
        <v>21.599</v>
      </c>
      <c r="S18">
        <v>51.3</v>
      </c>
      <c r="T18">
        <v>29.5</v>
      </c>
    </row>
    <row r="19" spans="1:20" x14ac:dyDescent="0.3">
      <c r="A19" t="s">
        <v>105</v>
      </c>
      <c r="B19">
        <v>234.90899999999999</v>
      </c>
      <c r="C19">
        <v>100</v>
      </c>
      <c r="D19">
        <v>100</v>
      </c>
      <c r="E19">
        <v>0.443</v>
      </c>
      <c r="F19">
        <v>78.887</v>
      </c>
      <c r="G19">
        <v>4.9930000000000003</v>
      </c>
      <c r="H19">
        <v>77.364000000000004</v>
      </c>
      <c r="I19">
        <v>51.877000000000002</v>
      </c>
      <c r="J19">
        <v>5.9180000000000001</v>
      </c>
      <c r="K19">
        <v>230.815</v>
      </c>
      <c r="L19">
        <v>8.49</v>
      </c>
      <c r="M19">
        <v>52.762999999999998</v>
      </c>
      <c r="N19">
        <v>8.4979999999999993</v>
      </c>
      <c r="O19">
        <v>0.873</v>
      </c>
      <c r="P19">
        <v>1.895</v>
      </c>
      <c r="Q19">
        <v>0</v>
      </c>
      <c r="R19">
        <v>21.588000000000001</v>
      </c>
      <c r="S19">
        <v>51.4</v>
      </c>
      <c r="T19">
        <v>29.5</v>
      </c>
    </row>
    <row r="20" spans="1:20" x14ac:dyDescent="0.3">
      <c r="A20" t="s">
        <v>106</v>
      </c>
      <c r="B20">
        <v>234.71899999999999</v>
      </c>
      <c r="C20">
        <v>100</v>
      </c>
      <c r="D20">
        <v>100</v>
      </c>
      <c r="E20">
        <v>0.41899999999999998</v>
      </c>
      <c r="F20">
        <v>78.703000000000003</v>
      </c>
      <c r="G20">
        <v>5.5380000000000003</v>
      </c>
      <c r="H20">
        <v>77.626000000000005</v>
      </c>
      <c r="I20">
        <v>52.981999999999999</v>
      </c>
      <c r="J20">
        <v>5.91</v>
      </c>
      <c r="K20">
        <v>230.61799999999999</v>
      </c>
      <c r="L20">
        <v>8.4830000000000005</v>
      </c>
      <c r="M20">
        <v>52.933999999999997</v>
      </c>
      <c r="N20">
        <v>8.4990000000000006</v>
      </c>
      <c r="O20">
        <v>0.89600000000000002</v>
      </c>
      <c r="P20">
        <v>1.9239999999999999</v>
      </c>
      <c r="Q20">
        <v>0</v>
      </c>
      <c r="R20">
        <v>21.641999999999999</v>
      </c>
      <c r="S20">
        <v>51.4</v>
      </c>
      <c r="T20">
        <v>29.5</v>
      </c>
    </row>
    <row r="21" spans="1:20" x14ac:dyDescent="0.3">
      <c r="A21" t="s">
        <v>107</v>
      </c>
      <c r="B21">
        <v>234.77600000000001</v>
      </c>
      <c r="C21">
        <v>100</v>
      </c>
      <c r="D21">
        <v>100</v>
      </c>
      <c r="E21">
        <v>0.42</v>
      </c>
      <c r="F21">
        <v>78.751999999999995</v>
      </c>
      <c r="G21">
        <v>5.359</v>
      </c>
      <c r="H21">
        <v>77.695999999999998</v>
      </c>
      <c r="I21">
        <v>52</v>
      </c>
      <c r="J21">
        <v>5.9180000000000001</v>
      </c>
      <c r="K21">
        <v>230.84800000000001</v>
      </c>
      <c r="L21">
        <v>8.4770000000000003</v>
      </c>
      <c r="M21">
        <v>52.823999999999998</v>
      </c>
      <c r="N21">
        <v>8.5</v>
      </c>
      <c r="O21">
        <v>0.89900000000000002</v>
      </c>
      <c r="P21">
        <v>1.913</v>
      </c>
      <c r="Q21">
        <v>0</v>
      </c>
      <c r="R21">
        <v>21.716999999999999</v>
      </c>
      <c r="S21">
        <v>51.4</v>
      </c>
      <c r="T21">
        <v>29.5</v>
      </c>
    </row>
    <row r="22" spans="1:20" x14ac:dyDescent="0.3">
      <c r="A22" t="s">
        <v>108</v>
      </c>
      <c r="B22">
        <v>234.63200000000001</v>
      </c>
      <c r="C22">
        <v>100</v>
      </c>
      <c r="D22">
        <v>100</v>
      </c>
      <c r="E22">
        <v>0.38700000000000001</v>
      </c>
      <c r="F22">
        <v>78.650000000000006</v>
      </c>
      <c r="G22">
        <v>5.5449999999999999</v>
      </c>
      <c r="H22">
        <v>77.807000000000002</v>
      </c>
      <c r="I22">
        <v>51.758000000000003</v>
      </c>
      <c r="J22">
        <v>5.9189999999999996</v>
      </c>
      <c r="K22">
        <v>230.51900000000001</v>
      </c>
      <c r="L22">
        <v>8.4740000000000002</v>
      </c>
      <c r="M22">
        <v>52.91</v>
      </c>
      <c r="N22">
        <v>8.5109999999999992</v>
      </c>
      <c r="O22">
        <v>0.91600000000000004</v>
      </c>
      <c r="P22">
        <v>1.91</v>
      </c>
      <c r="Q22">
        <v>0</v>
      </c>
      <c r="R22">
        <v>21.876000000000001</v>
      </c>
      <c r="S22">
        <v>51.3</v>
      </c>
      <c r="T22">
        <v>29.5</v>
      </c>
    </row>
    <row r="23" spans="1:20" x14ac:dyDescent="0.3">
      <c r="A23" t="s">
        <v>109</v>
      </c>
      <c r="B23">
        <v>234.636</v>
      </c>
      <c r="C23">
        <v>100</v>
      </c>
      <c r="D23">
        <v>100</v>
      </c>
      <c r="E23">
        <v>0.41199999999999998</v>
      </c>
      <c r="F23">
        <v>79.188999999999993</v>
      </c>
      <c r="G23">
        <v>5.54</v>
      </c>
      <c r="H23">
        <v>78.161000000000001</v>
      </c>
      <c r="I23">
        <v>52.168999999999997</v>
      </c>
      <c r="J23">
        <v>5.9180000000000001</v>
      </c>
      <c r="K23">
        <v>230.864</v>
      </c>
      <c r="L23">
        <v>8.4629999999999992</v>
      </c>
      <c r="M23">
        <v>52.850999999999999</v>
      </c>
      <c r="N23">
        <v>8.4960000000000004</v>
      </c>
      <c r="O23">
        <v>0.91700000000000004</v>
      </c>
      <c r="P23">
        <v>1.919</v>
      </c>
      <c r="Q23">
        <v>0</v>
      </c>
      <c r="R23">
        <v>22.172999999999998</v>
      </c>
      <c r="S23">
        <v>51.4</v>
      </c>
      <c r="T23">
        <v>29.5</v>
      </c>
    </row>
    <row r="24" spans="1:20" x14ac:dyDescent="0.3">
      <c r="A24" t="s">
        <v>110</v>
      </c>
      <c r="B24">
        <v>235.542</v>
      </c>
      <c r="C24">
        <v>100</v>
      </c>
      <c r="D24">
        <v>100</v>
      </c>
      <c r="E24">
        <v>0.42299999999999999</v>
      </c>
      <c r="F24">
        <v>79.307000000000002</v>
      </c>
      <c r="G24">
        <v>5.79</v>
      </c>
      <c r="H24">
        <v>78.143000000000001</v>
      </c>
      <c r="I24">
        <v>51.68</v>
      </c>
      <c r="J24">
        <v>5.9180000000000001</v>
      </c>
      <c r="K24">
        <v>230.89699999999999</v>
      </c>
      <c r="L24">
        <v>8.6809999999999992</v>
      </c>
      <c r="M24">
        <v>52.917999999999999</v>
      </c>
      <c r="N24">
        <v>8.5039999999999996</v>
      </c>
      <c r="O24">
        <v>0.88100000000000001</v>
      </c>
      <c r="P24">
        <v>1.9119999999999999</v>
      </c>
      <c r="Q24">
        <v>0</v>
      </c>
      <c r="R24">
        <v>22.382999999999999</v>
      </c>
      <c r="S24">
        <v>51.4</v>
      </c>
      <c r="T24">
        <v>29.5</v>
      </c>
    </row>
    <row r="25" spans="1:20" ht="15" thickBot="1" x14ac:dyDescent="0.35">
      <c r="A25" t="s">
        <v>111</v>
      </c>
      <c r="B25">
        <v>234.946</v>
      </c>
      <c r="C25">
        <v>100</v>
      </c>
      <c r="D25">
        <v>100</v>
      </c>
      <c r="E25">
        <v>0.71</v>
      </c>
      <c r="F25">
        <v>79.465000000000003</v>
      </c>
      <c r="G25">
        <v>5.484</v>
      </c>
      <c r="H25">
        <v>78.486000000000004</v>
      </c>
      <c r="I25">
        <v>51.951000000000001</v>
      </c>
      <c r="J25">
        <v>5.9139999999999997</v>
      </c>
      <c r="K25">
        <v>230.79900000000001</v>
      </c>
      <c r="L25">
        <v>8.6760000000000002</v>
      </c>
      <c r="M25">
        <v>52.962000000000003</v>
      </c>
      <c r="N25">
        <v>8.5050000000000008</v>
      </c>
      <c r="O25">
        <v>0.89400000000000002</v>
      </c>
      <c r="P25">
        <v>1.9339999999999999</v>
      </c>
      <c r="Q25">
        <v>0</v>
      </c>
      <c r="R25">
        <v>22.471</v>
      </c>
      <c r="S25">
        <v>51.3</v>
      </c>
      <c r="T25">
        <v>29.5</v>
      </c>
    </row>
    <row r="26" spans="1:20" ht="15" thickBot="1" x14ac:dyDescent="0.35">
      <c r="A26" t="s">
        <v>0</v>
      </c>
      <c r="B26" s="1">
        <f t="shared" ref="B26:T26" si="0">AVERAGE(B6:B24)</f>
        <v>234.73636842105262</v>
      </c>
      <c r="C26" s="1">
        <f t="shared" si="0"/>
        <v>100</v>
      </c>
      <c r="D26" s="1">
        <f t="shared" si="0"/>
        <v>100</v>
      </c>
      <c r="E26" s="10">
        <f t="shared" si="0"/>
        <v>0.41747368421052627</v>
      </c>
      <c r="F26" s="1">
        <f t="shared" si="0"/>
        <v>78.765684210526331</v>
      </c>
      <c r="G26" s="1">
        <f t="shared" si="0"/>
        <v>5.3807368421052626</v>
      </c>
      <c r="H26" s="10">
        <f t="shared" si="0"/>
        <v>77.870578947368415</v>
      </c>
      <c r="I26" s="1">
        <f t="shared" si="0"/>
        <v>52.103894736842093</v>
      </c>
      <c r="J26" s="8">
        <f t="shared" si="0"/>
        <v>5.9146842105263167</v>
      </c>
      <c r="K26" s="1">
        <f t="shared" si="0"/>
        <v>230.69221052631573</v>
      </c>
      <c r="L26" s="1">
        <f t="shared" si="0"/>
        <v>8.5192105263157885</v>
      </c>
      <c r="M26" s="1">
        <f t="shared" si="0"/>
        <v>52.851578947368417</v>
      </c>
      <c r="N26" s="1">
        <f t="shared" si="0"/>
        <v>8.5001052631578933</v>
      </c>
      <c r="O26" s="1">
        <f t="shared" si="0"/>
        <v>0.89657894736842125</v>
      </c>
      <c r="P26" s="1">
        <f t="shared" si="0"/>
        <v>1.9327368421052629</v>
      </c>
      <c r="Q26" s="1">
        <f t="shared" si="0"/>
        <v>0</v>
      </c>
      <c r="R26" s="1">
        <f t="shared" si="0"/>
        <v>22.019263157894734</v>
      </c>
      <c r="S26" s="1">
        <f t="shared" si="0"/>
        <v>51.368421052631568</v>
      </c>
      <c r="T26" s="8">
        <f t="shared" si="0"/>
        <v>29.5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1.0361578947368417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CE-C77B-46EC-807B-F62385CF3F26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8" sqref="K38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0.43053240740740739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69.549914748799964</v>
      </c>
      <c r="M2" s="8">
        <f>(H26*0.001*60)*(K2/100)*(G2/I2)</f>
        <v>2.3001458384404163</v>
      </c>
      <c r="O2" s="9">
        <f>100*((E26*C2)/((E26*C2)+(M2*E2)))</f>
        <v>13.530357284099845</v>
      </c>
      <c r="Q2" s="10">
        <f>100*J26*(1/(((C2/3.6)*E26)+((E2/3.6)*M2)))</f>
        <v>16.027740751256118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112</v>
      </c>
      <c r="B6">
        <v>236.06899999999999</v>
      </c>
      <c r="C6">
        <v>100</v>
      </c>
      <c r="D6">
        <v>100</v>
      </c>
      <c r="E6">
        <v>0.436</v>
      </c>
      <c r="F6">
        <v>78.644000000000005</v>
      </c>
      <c r="G6">
        <v>5.3070000000000004</v>
      </c>
      <c r="H6">
        <v>77.448999999999998</v>
      </c>
      <c r="I6">
        <v>52.008000000000003</v>
      </c>
      <c r="J6">
        <v>5.915</v>
      </c>
      <c r="K6">
        <v>230.78200000000001</v>
      </c>
      <c r="L6">
        <v>8.5370000000000008</v>
      </c>
      <c r="M6">
        <v>52.726999999999997</v>
      </c>
      <c r="N6">
        <v>8.4969999999999999</v>
      </c>
      <c r="O6">
        <v>0.90100000000000002</v>
      </c>
      <c r="P6">
        <v>2.6880000000000002</v>
      </c>
      <c r="Q6">
        <v>0</v>
      </c>
      <c r="R6">
        <v>22.317</v>
      </c>
      <c r="S6">
        <v>50.8</v>
      </c>
      <c r="T6">
        <v>13</v>
      </c>
    </row>
    <row r="7" spans="1:21" x14ac:dyDescent="0.3">
      <c r="A7" t="s">
        <v>113</v>
      </c>
      <c r="B7">
        <v>236.709</v>
      </c>
      <c r="C7">
        <v>100</v>
      </c>
      <c r="D7">
        <v>100</v>
      </c>
      <c r="E7">
        <v>0.42299999999999999</v>
      </c>
      <c r="F7">
        <v>79.209000000000003</v>
      </c>
      <c r="G7">
        <v>5.4509999999999996</v>
      </c>
      <c r="H7">
        <v>77.203000000000003</v>
      </c>
      <c r="I7">
        <v>51.634999999999998</v>
      </c>
      <c r="J7">
        <v>5.9089999999999998</v>
      </c>
      <c r="K7">
        <v>230.536</v>
      </c>
      <c r="L7">
        <v>8.5419999999999998</v>
      </c>
      <c r="M7">
        <v>52.642000000000003</v>
      </c>
      <c r="N7">
        <v>8.4960000000000004</v>
      </c>
      <c r="O7">
        <v>0.88600000000000001</v>
      </c>
      <c r="P7">
        <v>2.6949999999999998</v>
      </c>
      <c r="Q7">
        <v>0</v>
      </c>
      <c r="R7">
        <v>22.327000000000002</v>
      </c>
      <c r="S7">
        <v>50.8</v>
      </c>
      <c r="T7">
        <v>13</v>
      </c>
    </row>
    <row r="8" spans="1:21" x14ac:dyDescent="0.3">
      <c r="A8" t="s">
        <v>114</v>
      </c>
      <c r="B8">
        <v>236.107</v>
      </c>
      <c r="C8">
        <v>100</v>
      </c>
      <c r="D8">
        <v>100</v>
      </c>
      <c r="E8">
        <v>0.40200000000000002</v>
      </c>
      <c r="F8">
        <v>79.540999999999997</v>
      </c>
      <c r="G8">
        <v>5.5339999999999998</v>
      </c>
      <c r="H8">
        <v>77.516999999999996</v>
      </c>
      <c r="I8">
        <v>51.709000000000003</v>
      </c>
      <c r="J8">
        <v>5.9160000000000004</v>
      </c>
      <c r="K8">
        <v>230.76599999999999</v>
      </c>
      <c r="L8">
        <v>8.56</v>
      </c>
      <c r="M8">
        <v>52.83</v>
      </c>
      <c r="N8">
        <v>8.4990000000000006</v>
      </c>
      <c r="O8">
        <v>0.89400000000000002</v>
      </c>
      <c r="P8">
        <v>2.6840000000000002</v>
      </c>
      <c r="Q8">
        <v>0</v>
      </c>
      <c r="R8">
        <v>22.367000000000001</v>
      </c>
      <c r="S8">
        <v>50.8</v>
      </c>
      <c r="T8">
        <v>13</v>
      </c>
    </row>
    <row r="9" spans="1:21" x14ac:dyDescent="0.3">
      <c r="A9" t="s">
        <v>115</v>
      </c>
      <c r="B9">
        <v>235.755</v>
      </c>
      <c r="C9">
        <v>100</v>
      </c>
      <c r="D9">
        <v>100</v>
      </c>
      <c r="E9">
        <v>0.39600000000000002</v>
      </c>
      <c r="F9">
        <v>78.355000000000004</v>
      </c>
      <c r="G9">
        <v>5.6829999999999998</v>
      </c>
      <c r="H9">
        <v>77.227999999999994</v>
      </c>
      <c r="I9">
        <v>51.261000000000003</v>
      </c>
      <c r="J9">
        <v>5.9080000000000004</v>
      </c>
      <c r="K9">
        <v>230.15799999999999</v>
      </c>
      <c r="L9">
        <v>8.5389999999999997</v>
      </c>
      <c r="M9">
        <v>52.81</v>
      </c>
      <c r="N9">
        <v>8.4960000000000004</v>
      </c>
      <c r="O9">
        <v>0.89600000000000002</v>
      </c>
      <c r="P9">
        <v>2.6840000000000002</v>
      </c>
      <c r="Q9">
        <v>0</v>
      </c>
      <c r="R9">
        <v>22.373999999999999</v>
      </c>
      <c r="S9">
        <v>50.8</v>
      </c>
      <c r="T9">
        <v>13</v>
      </c>
    </row>
    <row r="10" spans="1:21" x14ac:dyDescent="0.3">
      <c r="A10" t="s">
        <v>116</v>
      </c>
      <c r="B10">
        <v>235.595</v>
      </c>
      <c r="C10">
        <v>100</v>
      </c>
      <c r="D10">
        <v>100</v>
      </c>
      <c r="E10">
        <v>0.438</v>
      </c>
      <c r="F10">
        <v>79.632999999999996</v>
      </c>
      <c r="G10">
        <v>5.0620000000000003</v>
      </c>
      <c r="H10">
        <v>77.415000000000006</v>
      </c>
      <c r="I10">
        <v>51.524000000000001</v>
      </c>
      <c r="J10">
        <v>5.9169999999999998</v>
      </c>
      <c r="K10">
        <v>230.84800000000001</v>
      </c>
      <c r="L10">
        <v>8.5660000000000007</v>
      </c>
      <c r="M10">
        <v>52.887</v>
      </c>
      <c r="N10">
        <v>8.5020000000000007</v>
      </c>
      <c r="O10">
        <v>0.91</v>
      </c>
      <c r="P10">
        <v>2.698</v>
      </c>
      <c r="Q10">
        <v>0</v>
      </c>
      <c r="R10">
        <v>22.378</v>
      </c>
      <c r="S10">
        <v>50.7</v>
      </c>
      <c r="T10">
        <v>13</v>
      </c>
    </row>
    <row r="11" spans="1:21" x14ac:dyDescent="0.3">
      <c r="A11" t="s">
        <v>117</v>
      </c>
      <c r="B11">
        <v>235.66300000000001</v>
      </c>
      <c r="C11">
        <v>100</v>
      </c>
      <c r="D11">
        <v>100</v>
      </c>
      <c r="E11">
        <v>0.42499999999999999</v>
      </c>
      <c r="F11">
        <v>79.271000000000001</v>
      </c>
      <c r="G11">
        <v>5.476</v>
      </c>
      <c r="H11">
        <v>77.281000000000006</v>
      </c>
      <c r="I11">
        <v>51.844000000000001</v>
      </c>
      <c r="J11">
        <v>5.9059999999999997</v>
      </c>
      <c r="K11">
        <v>230.42099999999999</v>
      </c>
      <c r="L11">
        <v>8.5449999999999999</v>
      </c>
      <c r="M11">
        <v>52.811999999999998</v>
      </c>
      <c r="N11">
        <v>8.4930000000000003</v>
      </c>
      <c r="O11">
        <v>0.90600000000000003</v>
      </c>
      <c r="P11">
        <v>2.673</v>
      </c>
      <c r="Q11">
        <v>0</v>
      </c>
      <c r="R11">
        <v>22.364000000000001</v>
      </c>
      <c r="S11">
        <v>50.7</v>
      </c>
      <c r="T11">
        <v>13</v>
      </c>
    </row>
    <row r="12" spans="1:21" x14ac:dyDescent="0.3">
      <c r="A12" t="s">
        <v>118</v>
      </c>
      <c r="B12">
        <v>235.69200000000001</v>
      </c>
      <c r="C12">
        <v>100</v>
      </c>
      <c r="D12">
        <v>100</v>
      </c>
      <c r="E12">
        <v>0.42799999999999999</v>
      </c>
      <c r="F12">
        <v>79.301000000000002</v>
      </c>
      <c r="G12">
        <v>5.6749999999999998</v>
      </c>
      <c r="H12">
        <v>77.113</v>
      </c>
      <c r="I12">
        <v>51.692</v>
      </c>
      <c r="J12">
        <v>5.9169999999999998</v>
      </c>
      <c r="K12">
        <v>230.83099999999999</v>
      </c>
      <c r="L12">
        <v>8.5660000000000007</v>
      </c>
      <c r="M12">
        <v>52.771999999999998</v>
      </c>
      <c r="N12">
        <v>8.4990000000000006</v>
      </c>
      <c r="O12">
        <v>0.88400000000000001</v>
      </c>
      <c r="P12">
        <v>2.6869999999999998</v>
      </c>
      <c r="Q12">
        <v>0</v>
      </c>
      <c r="R12">
        <v>22.369</v>
      </c>
      <c r="S12">
        <v>50.8</v>
      </c>
      <c r="T12">
        <v>13</v>
      </c>
    </row>
    <row r="13" spans="1:21" x14ac:dyDescent="0.3">
      <c r="A13" t="s">
        <v>119</v>
      </c>
      <c r="B13">
        <v>235.53800000000001</v>
      </c>
      <c r="C13">
        <v>100</v>
      </c>
      <c r="D13">
        <v>100</v>
      </c>
      <c r="E13">
        <v>0.44500000000000001</v>
      </c>
      <c r="F13">
        <v>78.177000000000007</v>
      </c>
      <c r="G13">
        <v>5.5060000000000002</v>
      </c>
      <c r="H13">
        <v>77.231999999999999</v>
      </c>
      <c r="I13">
        <v>51.475000000000001</v>
      </c>
      <c r="J13">
        <v>5.9080000000000004</v>
      </c>
      <c r="K13">
        <v>230.56899999999999</v>
      </c>
      <c r="L13">
        <v>8.5419999999999998</v>
      </c>
      <c r="M13">
        <v>52.771000000000001</v>
      </c>
      <c r="N13">
        <v>8.5020000000000007</v>
      </c>
      <c r="O13">
        <v>0.88700000000000001</v>
      </c>
      <c r="P13">
        <v>2.694</v>
      </c>
      <c r="Q13">
        <v>0</v>
      </c>
      <c r="R13">
        <v>22.349</v>
      </c>
      <c r="S13">
        <v>50.8</v>
      </c>
      <c r="T13">
        <v>13</v>
      </c>
    </row>
    <row r="14" spans="1:21" x14ac:dyDescent="0.3">
      <c r="A14" t="s">
        <v>120</v>
      </c>
      <c r="B14">
        <v>236.43600000000001</v>
      </c>
      <c r="C14">
        <v>100</v>
      </c>
      <c r="D14">
        <v>100</v>
      </c>
      <c r="E14">
        <v>0.38400000000000001</v>
      </c>
      <c r="F14">
        <v>79.304000000000002</v>
      </c>
      <c r="G14">
        <v>5.343</v>
      </c>
      <c r="H14">
        <v>77.256</v>
      </c>
      <c r="I14">
        <v>51.424999999999997</v>
      </c>
      <c r="J14">
        <v>5.9180000000000001</v>
      </c>
      <c r="K14">
        <v>230.89699999999999</v>
      </c>
      <c r="L14">
        <v>8.5649999999999995</v>
      </c>
      <c r="M14">
        <v>52.822000000000003</v>
      </c>
      <c r="N14">
        <v>8.4960000000000004</v>
      </c>
      <c r="O14">
        <v>0.89200000000000002</v>
      </c>
      <c r="P14">
        <v>2.6739999999999999</v>
      </c>
      <c r="Q14">
        <v>0</v>
      </c>
      <c r="R14">
        <v>22.338000000000001</v>
      </c>
      <c r="S14">
        <v>50.8</v>
      </c>
      <c r="T14">
        <v>13</v>
      </c>
    </row>
    <row r="15" spans="1:21" x14ac:dyDescent="0.3">
      <c r="A15" t="s">
        <v>121</v>
      </c>
      <c r="B15">
        <v>235.81700000000001</v>
      </c>
      <c r="C15">
        <v>100</v>
      </c>
      <c r="D15">
        <v>100</v>
      </c>
      <c r="E15">
        <v>0.45400000000000001</v>
      </c>
      <c r="F15">
        <v>79.037999999999997</v>
      </c>
      <c r="G15">
        <v>5.3630000000000004</v>
      </c>
      <c r="H15">
        <v>77.293000000000006</v>
      </c>
      <c r="I15">
        <v>51.627000000000002</v>
      </c>
      <c r="J15">
        <v>5.907</v>
      </c>
      <c r="K15">
        <v>230.51900000000001</v>
      </c>
      <c r="L15">
        <v>8.548</v>
      </c>
      <c r="M15">
        <v>52.82</v>
      </c>
      <c r="N15">
        <v>8.5</v>
      </c>
      <c r="O15">
        <v>0.90400000000000003</v>
      </c>
      <c r="P15">
        <v>2.6920000000000002</v>
      </c>
      <c r="Q15">
        <v>0</v>
      </c>
      <c r="R15">
        <v>22.312999999999999</v>
      </c>
      <c r="S15">
        <v>50.8</v>
      </c>
      <c r="T15">
        <v>13</v>
      </c>
    </row>
    <row r="16" spans="1:21" x14ac:dyDescent="0.3">
      <c r="A16" t="s">
        <v>122</v>
      </c>
      <c r="B16">
        <v>235.798</v>
      </c>
      <c r="C16">
        <v>100</v>
      </c>
      <c r="D16">
        <v>100</v>
      </c>
      <c r="E16">
        <v>0.42799999999999999</v>
      </c>
      <c r="F16">
        <v>79.153000000000006</v>
      </c>
      <c r="G16">
        <v>5.7679999999999998</v>
      </c>
      <c r="H16">
        <v>77.215000000000003</v>
      </c>
      <c r="I16">
        <v>51.835999999999999</v>
      </c>
      <c r="J16">
        <v>5.9160000000000004</v>
      </c>
      <c r="K16">
        <v>230.78200000000001</v>
      </c>
      <c r="L16">
        <v>8.5579999999999998</v>
      </c>
      <c r="M16">
        <v>52.715000000000003</v>
      </c>
      <c r="N16">
        <v>8.5030000000000001</v>
      </c>
      <c r="O16">
        <v>0.91700000000000004</v>
      </c>
      <c r="P16">
        <v>2.6880000000000002</v>
      </c>
      <c r="Q16">
        <v>0</v>
      </c>
      <c r="R16">
        <v>22.251999999999999</v>
      </c>
      <c r="S16">
        <v>50.8</v>
      </c>
      <c r="T16">
        <v>13</v>
      </c>
    </row>
    <row r="17" spans="1:20" x14ac:dyDescent="0.3">
      <c r="A17" t="s">
        <v>123</v>
      </c>
      <c r="B17">
        <v>236.268</v>
      </c>
      <c r="C17">
        <v>100</v>
      </c>
      <c r="D17">
        <v>100</v>
      </c>
      <c r="E17">
        <v>0.40200000000000002</v>
      </c>
      <c r="F17">
        <v>79.356999999999999</v>
      </c>
      <c r="G17">
        <v>5.6630000000000003</v>
      </c>
      <c r="H17">
        <v>77.320999999999998</v>
      </c>
      <c r="I17">
        <v>51.758000000000003</v>
      </c>
      <c r="J17">
        <v>5.907</v>
      </c>
      <c r="K17">
        <v>230.55199999999999</v>
      </c>
      <c r="L17">
        <v>8.5500000000000007</v>
      </c>
      <c r="M17">
        <v>52.737000000000002</v>
      </c>
      <c r="N17">
        <v>8.5</v>
      </c>
      <c r="O17">
        <v>0.91400000000000003</v>
      </c>
      <c r="P17">
        <v>2.6850000000000001</v>
      </c>
      <c r="Q17">
        <v>0</v>
      </c>
      <c r="R17">
        <v>22.22</v>
      </c>
      <c r="S17">
        <v>50.8</v>
      </c>
      <c r="T17">
        <v>13</v>
      </c>
    </row>
    <row r="18" spans="1:20" x14ac:dyDescent="0.3">
      <c r="A18" t="s">
        <v>124</v>
      </c>
      <c r="B18">
        <v>235.72</v>
      </c>
      <c r="C18">
        <v>100</v>
      </c>
      <c r="D18">
        <v>100</v>
      </c>
      <c r="E18">
        <v>0.46400000000000002</v>
      </c>
      <c r="F18">
        <v>78.926000000000002</v>
      </c>
      <c r="G18">
        <v>5.5609999999999999</v>
      </c>
      <c r="H18">
        <v>76.944000000000003</v>
      </c>
      <c r="I18">
        <v>51.454000000000001</v>
      </c>
      <c r="J18">
        <v>5.9169999999999998</v>
      </c>
      <c r="K18">
        <v>230.78200000000001</v>
      </c>
      <c r="L18">
        <v>8.5640000000000001</v>
      </c>
      <c r="M18">
        <v>52.761000000000003</v>
      </c>
      <c r="N18">
        <v>8.5030000000000001</v>
      </c>
      <c r="O18">
        <v>0.89400000000000002</v>
      </c>
      <c r="P18">
        <v>2.6930000000000001</v>
      </c>
      <c r="Q18">
        <v>0</v>
      </c>
      <c r="R18">
        <v>22.198</v>
      </c>
      <c r="S18">
        <v>50.8</v>
      </c>
      <c r="T18">
        <v>13</v>
      </c>
    </row>
    <row r="19" spans="1:20" x14ac:dyDescent="0.3">
      <c r="A19" t="s">
        <v>125</v>
      </c>
      <c r="B19">
        <v>235.97</v>
      </c>
      <c r="C19">
        <v>100</v>
      </c>
      <c r="D19">
        <v>100</v>
      </c>
      <c r="E19">
        <v>0.379</v>
      </c>
      <c r="F19">
        <v>79.412999999999997</v>
      </c>
      <c r="G19">
        <v>5.6680000000000001</v>
      </c>
      <c r="H19">
        <v>77.134</v>
      </c>
      <c r="I19">
        <v>51.494999999999997</v>
      </c>
      <c r="J19">
        <v>5.9080000000000004</v>
      </c>
      <c r="K19">
        <v>230.50299999999999</v>
      </c>
      <c r="L19">
        <v>8.5380000000000003</v>
      </c>
      <c r="M19">
        <v>52.82</v>
      </c>
      <c r="N19">
        <v>8.5079999999999991</v>
      </c>
      <c r="O19">
        <v>0.88700000000000001</v>
      </c>
      <c r="P19">
        <v>2.6920000000000002</v>
      </c>
      <c r="Q19">
        <v>0</v>
      </c>
      <c r="R19">
        <v>22.167999999999999</v>
      </c>
      <c r="S19">
        <v>50.7</v>
      </c>
      <c r="T19">
        <v>13</v>
      </c>
    </row>
    <row r="20" spans="1:20" x14ac:dyDescent="0.3">
      <c r="A20" t="s">
        <v>126</v>
      </c>
      <c r="B20">
        <v>235.80099999999999</v>
      </c>
      <c r="C20">
        <v>100</v>
      </c>
      <c r="D20">
        <v>100</v>
      </c>
      <c r="E20">
        <v>0.42799999999999999</v>
      </c>
      <c r="F20">
        <v>79.093999999999994</v>
      </c>
      <c r="G20">
        <v>5.8819999999999997</v>
      </c>
      <c r="H20">
        <v>76.899000000000001</v>
      </c>
      <c r="I20">
        <v>51.683999999999997</v>
      </c>
      <c r="J20">
        <v>6.18</v>
      </c>
      <c r="K20">
        <v>230.63399999999999</v>
      </c>
      <c r="L20">
        <v>9.2279999999999998</v>
      </c>
      <c r="M20">
        <v>52.579000000000001</v>
      </c>
      <c r="N20">
        <v>9.1</v>
      </c>
      <c r="O20">
        <v>0.88700000000000001</v>
      </c>
      <c r="P20">
        <v>2.6909999999999998</v>
      </c>
      <c r="Q20">
        <v>0</v>
      </c>
      <c r="R20">
        <v>22.123000000000001</v>
      </c>
      <c r="S20">
        <v>50.8</v>
      </c>
      <c r="T20">
        <v>13</v>
      </c>
    </row>
    <row r="21" spans="1:20" x14ac:dyDescent="0.3">
      <c r="A21" t="s">
        <v>127</v>
      </c>
      <c r="B21">
        <v>235.82300000000001</v>
      </c>
      <c r="C21">
        <v>100</v>
      </c>
      <c r="D21">
        <v>100</v>
      </c>
      <c r="E21">
        <v>0.41499999999999998</v>
      </c>
      <c r="F21">
        <v>79.150000000000006</v>
      </c>
      <c r="G21">
        <v>5.657</v>
      </c>
      <c r="H21">
        <v>77.105000000000004</v>
      </c>
      <c r="I21">
        <v>51.683999999999997</v>
      </c>
      <c r="J21">
        <v>5.9050000000000002</v>
      </c>
      <c r="K21">
        <v>230.45400000000001</v>
      </c>
      <c r="L21">
        <v>8.5410000000000004</v>
      </c>
      <c r="M21">
        <v>52.753</v>
      </c>
      <c r="N21">
        <v>8.5030000000000001</v>
      </c>
      <c r="O21">
        <v>0.90100000000000002</v>
      </c>
      <c r="P21">
        <v>2.6850000000000001</v>
      </c>
      <c r="Q21">
        <v>0</v>
      </c>
      <c r="R21">
        <v>22.122</v>
      </c>
      <c r="S21">
        <v>50.8</v>
      </c>
      <c r="T21">
        <v>13</v>
      </c>
    </row>
    <row r="22" spans="1:20" x14ac:dyDescent="0.3">
      <c r="A22" t="s">
        <v>128</v>
      </c>
      <c r="B22">
        <v>237.23099999999999</v>
      </c>
      <c r="C22">
        <v>100</v>
      </c>
      <c r="D22">
        <v>100</v>
      </c>
      <c r="E22">
        <v>0.41</v>
      </c>
      <c r="F22">
        <v>78.600999999999999</v>
      </c>
      <c r="G22">
        <v>5.4169999999999998</v>
      </c>
      <c r="H22">
        <v>77.099000000000004</v>
      </c>
      <c r="I22">
        <v>52.206000000000003</v>
      </c>
      <c r="J22">
        <v>5.9180000000000001</v>
      </c>
      <c r="K22">
        <v>230.91399999999999</v>
      </c>
      <c r="L22">
        <v>8.5649999999999995</v>
      </c>
      <c r="M22">
        <v>52.869</v>
      </c>
      <c r="N22">
        <v>8.4939999999999998</v>
      </c>
      <c r="O22">
        <v>0.90800000000000003</v>
      </c>
      <c r="P22">
        <v>2.681</v>
      </c>
      <c r="Q22">
        <v>0</v>
      </c>
      <c r="R22">
        <v>22.07</v>
      </c>
      <c r="S22">
        <v>50.8</v>
      </c>
      <c r="T22">
        <v>13</v>
      </c>
    </row>
    <row r="23" spans="1:20" x14ac:dyDescent="0.3">
      <c r="A23" t="s">
        <v>129</v>
      </c>
      <c r="B23">
        <v>236.21</v>
      </c>
      <c r="C23">
        <v>100</v>
      </c>
      <c r="D23">
        <v>100</v>
      </c>
      <c r="E23">
        <v>0.44700000000000001</v>
      </c>
      <c r="F23">
        <v>78.912999999999997</v>
      </c>
      <c r="G23">
        <v>5.609</v>
      </c>
      <c r="H23">
        <v>76.825000000000003</v>
      </c>
      <c r="I23">
        <v>51.314</v>
      </c>
      <c r="J23">
        <v>5.9059999999999997</v>
      </c>
      <c r="K23">
        <v>230.43700000000001</v>
      </c>
      <c r="L23">
        <v>8.5540000000000003</v>
      </c>
      <c r="M23">
        <v>52.762999999999998</v>
      </c>
      <c r="N23">
        <v>8.5</v>
      </c>
      <c r="O23">
        <v>0.91600000000000004</v>
      </c>
      <c r="P23">
        <v>2.6850000000000001</v>
      </c>
      <c r="Q23">
        <v>0</v>
      </c>
      <c r="R23">
        <v>22.033000000000001</v>
      </c>
      <c r="S23">
        <v>50.8</v>
      </c>
      <c r="T23">
        <v>13</v>
      </c>
    </row>
    <row r="24" spans="1:20" x14ac:dyDescent="0.3">
      <c r="A24" t="s">
        <v>130</v>
      </c>
      <c r="B24">
        <v>235.90100000000001</v>
      </c>
      <c r="C24">
        <v>100</v>
      </c>
      <c r="D24">
        <v>100</v>
      </c>
      <c r="E24">
        <v>0.38700000000000001</v>
      </c>
      <c r="F24">
        <v>78.814999999999998</v>
      </c>
      <c r="G24">
        <v>5.1589999999999998</v>
      </c>
      <c r="H24">
        <v>76.971000000000004</v>
      </c>
      <c r="I24">
        <v>51.581000000000003</v>
      </c>
      <c r="J24">
        <v>5.9160000000000004</v>
      </c>
      <c r="K24">
        <v>230.815</v>
      </c>
      <c r="L24">
        <v>8.5630000000000006</v>
      </c>
      <c r="M24">
        <v>52.734999999999999</v>
      </c>
      <c r="N24">
        <v>8.4979999999999993</v>
      </c>
      <c r="O24">
        <v>0.879</v>
      </c>
      <c r="P24">
        <v>2.7029999999999998</v>
      </c>
      <c r="Q24">
        <v>0</v>
      </c>
      <c r="R24">
        <v>22.018999999999998</v>
      </c>
      <c r="S24">
        <v>50.8</v>
      </c>
      <c r="T24">
        <v>13</v>
      </c>
    </row>
    <row r="25" spans="1:20" ht="15" thickBot="1" x14ac:dyDescent="0.35">
      <c r="A25" t="s">
        <v>131</v>
      </c>
      <c r="B25">
        <v>235.81700000000001</v>
      </c>
      <c r="C25">
        <v>100</v>
      </c>
      <c r="D25">
        <v>100</v>
      </c>
      <c r="E25">
        <v>0.443</v>
      </c>
      <c r="F25">
        <v>79.415999999999997</v>
      </c>
      <c r="G25">
        <v>5.2430000000000003</v>
      </c>
      <c r="H25">
        <v>76.853999999999999</v>
      </c>
      <c r="I25">
        <v>51.893000000000001</v>
      </c>
      <c r="J25">
        <v>5.907</v>
      </c>
      <c r="K25">
        <v>230.55199999999999</v>
      </c>
      <c r="L25">
        <v>8.6709999999999994</v>
      </c>
      <c r="M25">
        <v>52.713000000000001</v>
      </c>
      <c r="N25">
        <v>8.5020000000000007</v>
      </c>
      <c r="O25">
        <v>0.91700000000000004</v>
      </c>
      <c r="P25">
        <v>2.7189999999999999</v>
      </c>
      <c r="Q25">
        <v>0</v>
      </c>
      <c r="R25">
        <v>21.989000000000001</v>
      </c>
      <c r="S25">
        <v>50.8</v>
      </c>
      <c r="T25">
        <v>13</v>
      </c>
    </row>
    <row r="26" spans="1:20" ht="15" thickBot="1" x14ac:dyDescent="0.35">
      <c r="A26" t="s">
        <v>0</v>
      </c>
      <c r="B26" s="1">
        <f t="shared" ref="B26:S26" si="0">AVERAGE(B6:B25)</f>
        <v>235.99599999999995</v>
      </c>
      <c r="C26" s="1">
        <f t="shared" si="0"/>
        <v>100</v>
      </c>
      <c r="D26" s="1">
        <f t="shared" si="0"/>
        <v>100</v>
      </c>
      <c r="E26" s="10">
        <f t="shared" si="0"/>
        <v>0.42169999999999996</v>
      </c>
      <c r="F26" s="1">
        <f t="shared" si="0"/>
        <v>79.065550000000016</v>
      </c>
      <c r="G26" s="1">
        <f t="shared" si="0"/>
        <v>5.5013500000000004</v>
      </c>
      <c r="H26" s="10">
        <f t="shared" si="0"/>
        <v>77.167699999999996</v>
      </c>
      <c r="I26" s="1">
        <f t="shared" si="0"/>
        <v>51.655250000000002</v>
      </c>
      <c r="J26" s="8">
        <f t="shared" si="0"/>
        <v>5.9250500000000006</v>
      </c>
      <c r="K26" s="1">
        <f t="shared" si="0"/>
        <v>230.63760000000002</v>
      </c>
      <c r="L26" s="1">
        <f t="shared" si="0"/>
        <v>8.5920999999999985</v>
      </c>
      <c r="M26" s="1">
        <f t="shared" si="0"/>
        <v>52.766900000000007</v>
      </c>
      <c r="N26" s="1">
        <f t="shared" si="0"/>
        <v>8.5295499999999986</v>
      </c>
      <c r="O26" s="1">
        <f t="shared" si="0"/>
        <v>0.89900000000000002</v>
      </c>
      <c r="P26" s="1">
        <f t="shared" si="0"/>
        <v>2.6895500000000001</v>
      </c>
      <c r="Q26" s="1">
        <f t="shared" si="0"/>
        <v>0</v>
      </c>
      <c r="R26" s="1">
        <f t="shared" si="0"/>
        <v>22.234499999999997</v>
      </c>
      <c r="S26" s="1">
        <f t="shared" si="0"/>
        <v>50.784999999999982</v>
      </c>
      <c r="T26" s="8">
        <f>AVERAGE(T6:T25)</f>
        <v>13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1.7905500000000001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0069-E180-483F-AC68-0C8B5C40754E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9" sqref="L39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0.43197916666666669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69.976744719798361</v>
      </c>
      <c r="M2" s="8">
        <f>(H26*0.001*60)*(K2/100)*(G2/I2)</f>
        <v>2.5391196776729363</v>
      </c>
      <c r="O2" s="9">
        <f>100*((E26*C2)/((E26*C2)+(M2*E2)))</f>
        <v>13.363844957796569</v>
      </c>
      <c r="Q2" s="10">
        <f>100*J26*(1/(((C2/3.6)*E26)+((E2/3.6)*M2)))</f>
        <v>19.469172458256736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132</v>
      </c>
      <c r="B6">
        <v>269.27800000000002</v>
      </c>
      <c r="C6">
        <v>100</v>
      </c>
      <c r="D6">
        <v>100</v>
      </c>
      <c r="E6">
        <v>0.46700000000000003</v>
      </c>
      <c r="F6">
        <v>79.137</v>
      </c>
      <c r="G6">
        <v>8.0020000000000007</v>
      </c>
      <c r="H6">
        <v>84.448999999999998</v>
      </c>
      <c r="I6">
        <v>51.856999999999999</v>
      </c>
      <c r="J6">
        <v>7.9269999999999996</v>
      </c>
      <c r="K6">
        <v>230.7</v>
      </c>
      <c r="L6">
        <v>11.459</v>
      </c>
      <c r="M6">
        <v>52.728999999999999</v>
      </c>
      <c r="N6">
        <v>11.41</v>
      </c>
      <c r="O6">
        <v>0.90300000000000002</v>
      </c>
      <c r="P6">
        <v>2.581</v>
      </c>
      <c r="Q6">
        <v>0</v>
      </c>
      <c r="R6">
        <v>23.917000000000002</v>
      </c>
      <c r="S6">
        <v>56.4</v>
      </c>
      <c r="T6">
        <v>17.3</v>
      </c>
    </row>
    <row r="7" spans="1:21" x14ac:dyDescent="0.3">
      <c r="A7" t="s">
        <v>133</v>
      </c>
      <c r="B7">
        <v>268.89600000000002</v>
      </c>
      <c r="C7">
        <v>100</v>
      </c>
      <c r="D7">
        <v>100</v>
      </c>
      <c r="E7">
        <v>0.45400000000000001</v>
      </c>
      <c r="F7">
        <v>79.403000000000006</v>
      </c>
      <c r="G7">
        <v>7.8319999999999999</v>
      </c>
      <c r="H7">
        <v>84.506</v>
      </c>
      <c r="I7">
        <v>51.823999999999998</v>
      </c>
      <c r="J7">
        <v>7.9349999999999996</v>
      </c>
      <c r="K7">
        <v>231.029</v>
      </c>
      <c r="L7">
        <v>11.468</v>
      </c>
      <c r="M7">
        <v>52.720999999999997</v>
      </c>
      <c r="N7">
        <v>11.407999999999999</v>
      </c>
      <c r="O7">
        <v>0.89900000000000002</v>
      </c>
      <c r="P7">
        <v>2.57</v>
      </c>
      <c r="Q7">
        <v>0</v>
      </c>
      <c r="R7">
        <v>23.981000000000002</v>
      </c>
      <c r="S7">
        <v>56.5</v>
      </c>
      <c r="T7">
        <v>17.3</v>
      </c>
    </row>
    <row r="8" spans="1:21" x14ac:dyDescent="0.3">
      <c r="A8" t="s">
        <v>134</v>
      </c>
      <c r="B8">
        <v>268.91199999999998</v>
      </c>
      <c r="C8">
        <v>100</v>
      </c>
      <c r="D8">
        <v>100</v>
      </c>
      <c r="E8">
        <v>0.48399999999999999</v>
      </c>
      <c r="F8">
        <v>79.876000000000005</v>
      </c>
      <c r="G8">
        <v>7.9379999999999997</v>
      </c>
      <c r="H8">
        <v>84.497</v>
      </c>
      <c r="I8">
        <v>52.152000000000001</v>
      </c>
      <c r="J8">
        <v>7.9240000000000004</v>
      </c>
      <c r="K8">
        <v>230.56899999999999</v>
      </c>
      <c r="L8">
        <v>11.452999999999999</v>
      </c>
      <c r="M8">
        <v>52.793999999999997</v>
      </c>
      <c r="N8">
        <v>11.41</v>
      </c>
      <c r="O8">
        <v>0.91700000000000004</v>
      </c>
      <c r="P8">
        <v>2.5619999999999998</v>
      </c>
      <c r="Q8">
        <v>0</v>
      </c>
      <c r="R8">
        <v>24.126000000000001</v>
      </c>
      <c r="S8">
        <v>56.5</v>
      </c>
      <c r="T8">
        <v>17.3</v>
      </c>
    </row>
    <row r="9" spans="1:21" x14ac:dyDescent="0.3">
      <c r="A9" t="s">
        <v>135</v>
      </c>
      <c r="B9">
        <v>269.69299999999998</v>
      </c>
      <c r="C9">
        <v>100</v>
      </c>
      <c r="D9">
        <v>100</v>
      </c>
      <c r="E9">
        <v>0.441</v>
      </c>
      <c r="F9">
        <v>79.531000000000006</v>
      </c>
      <c r="G9">
        <v>7.774</v>
      </c>
      <c r="H9">
        <v>84.537000000000006</v>
      </c>
      <c r="I9">
        <v>52.082000000000001</v>
      </c>
      <c r="J9">
        <v>7.9329999999999998</v>
      </c>
      <c r="K9">
        <v>230.93</v>
      </c>
      <c r="L9">
        <v>11.473000000000001</v>
      </c>
      <c r="M9">
        <v>52.703000000000003</v>
      </c>
      <c r="N9">
        <v>11.416</v>
      </c>
      <c r="O9">
        <v>0.92300000000000004</v>
      </c>
      <c r="P9">
        <v>2.5819999999999999</v>
      </c>
      <c r="Q9">
        <v>0</v>
      </c>
      <c r="R9">
        <v>24.196999999999999</v>
      </c>
      <c r="S9">
        <v>56.4</v>
      </c>
      <c r="T9">
        <v>17.3</v>
      </c>
    </row>
    <row r="10" spans="1:21" x14ac:dyDescent="0.3">
      <c r="A10" t="s">
        <v>136</v>
      </c>
      <c r="B10">
        <v>269.29700000000003</v>
      </c>
      <c r="C10">
        <v>100</v>
      </c>
      <c r="D10">
        <v>100</v>
      </c>
      <c r="E10">
        <v>0.47399999999999998</v>
      </c>
      <c r="F10">
        <v>79.954999999999998</v>
      </c>
      <c r="G10">
        <v>8.016</v>
      </c>
      <c r="H10">
        <v>84.768000000000001</v>
      </c>
      <c r="I10">
        <v>52.451999999999998</v>
      </c>
      <c r="J10">
        <v>7.9210000000000003</v>
      </c>
      <c r="K10">
        <v>230.56899999999999</v>
      </c>
      <c r="L10">
        <v>11.455</v>
      </c>
      <c r="M10">
        <v>52.783999999999999</v>
      </c>
      <c r="N10">
        <v>11.409000000000001</v>
      </c>
      <c r="O10">
        <v>0.91400000000000003</v>
      </c>
      <c r="P10">
        <v>2.58</v>
      </c>
      <c r="Q10">
        <v>0</v>
      </c>
      <c r="R10">
        <v>24.265999999999998</v>
      </c>
      <c r="S10">
        <v>56.4</v>
      </c>
      <c r="T10">
        <v>17.3</v>
      </c>
    </row>
    <row r="11" spans="1:21" x14ac:dyDescent="0.3">
      <c r="A11" t="s">
        <v>137</v>
      </c>
      <c r="B11">
        <v>269.81</v>
      </c>
      <c r="C11">
        <v>100</v>
      </c>
      <c r="D11">
        <v>100</v>
      </c>
      <c r="E11">
        <v>0.437</v>
      </c>
      <c r="F11">
        <v>79.649000000000001</v>
      </c>
      <c r="G11">
        <v>7.492</v>
      </c>
      <c r="H11">
        <v>84.768000000000001</v>
      </c>
      <c r="I11">
        <v>51.758000000000003</v>
      </c>
      <c r="J11">
        <v>7.9359999999999999</v>
      </c>
      <c r="K11">
        <v>230.97900000000001</v>
      </c>
      <c r="L11">
        <v>11.478999999999999</v>
      </c>
      <c r="M11">
        <v>52.838999999999999</v>
      </c>
      <c r="N11">
        <v>11.406000000000001</v>
      </c>
      <c r="O11">
        <v>0.90500000000000003</v>
      </c>
      <c r="P11">
        <v>2.569</v>
      </c>
      <c r="Q11">
        <v>0</v>
      </c>
      <c r="R11">
        <v>24.276</v>
      </c>
      <c r="S11">
        <v>56.4</v>
      </c>
      <c r="T11">
        <v>17.3</v>
      </c>
    </row>
    <row r="12" spans="1:21" x14ac:dyDescent="0.3">
      <c r="A12" t="s">
        <v>138</v>
      </c>
      <c r="B12">
        <v>269.18099999999998</v>
      </c>
      <c r="C12">
        <v>100</v>
      </c>
      <c r="D12">
        <v>100</v>
      </c>
      <c r="E12">
        <v>0.436</v>
      </c>
      <c r="F12">
        <v>80.188000000000002</v>
      </c>
      <c r="G12">
        <v>8.2550000000000008</v>
      </c>
      <c r="H12">
        <v>84.742000000000004</v>
      </c>
      <c r="I12">
        <v>52.061999999999998</v>
      </c>
      <c r="J12">
        <v>7.9260000000000002</v>
      </c>
      <c r="K12">
        <v>230.536</v>
      </c>
      <c r="L12">
        <v>11.455</v>
      </c>
      <c r="M12">
        <v>52.767000000000003</v>
      </c>
      <c r="N12">
        <v>11.407999999999999</v>
      </c>
      <c r="O12">
        <v>0.90300000000000002</v>
      </c>
      <c r="P12">
        <v>2.5579999999999998</v>
      </c>
      <c r="Q12">
        <v>0</v>
      </c>
      <c r="R12">
        <v>24.277000000000001</v>
      </c>
      <c r="S12">
        <v>56.5</v>
      </c>
      <c r="T12">
        <v>17.3</v>
      </c>
    </row>
    <row r="13" spans="1:21" x14ac:dyDescent="0.3">
      <c r="A13" t="s">
        <v>139</v>
      </c>
      <c r="B13">
        <v>269.05799999999999</v>
      </c>
      <c r="C13">
        <v>100</v>
      </c>
      <c r="D13">
        <v>100</v>
      </c>
      <c r="E13">
        <v>0.48899999999999999</v>
      </c>
      <c r="F13">
        <v>80.433999999999997</v>
      </c>
      <c r="G13">
        <v>7.8090000000000002</v>
      </c>
      <c r="H13">
        <v>84.78</v>
      </c>
      <c r="I13">
        <v>52.262999999999998</v>
      </c>
      <c r="J13">
        <v>7.9390000000000001</v>
      </c>
      <c r="K13">
        <v>230.93</v>
      </c>
      <c r="L13">
        <v>11.474</v>
      </c>
      <c r="M13">
        <v>52.856999999999999</v>
      </c>
      <c r="N13">
        <v>11.411</v>
      </c>
      <c r="O13">
        <v>0.90700000000000003</v>
      </c>
      <c r="P13">
        <v>2.5779999999999998</v>
      </c>
      <c r="Q13">
        <v>0</v>
      </c>
      <c r="R13">
        <v>24.244</v>
      </c>
      <c r="S13">
        <v>56.3</v>
      </c>
      <c r="T13">
        <v>17.3</v>
      </c>
    </row>
    <row r="14" spans="1:21" x14ac:dyDescent="0.3">
      <c r="A14" t="s">
        <v>140</v>
      </c>
      <c r="B14">
        <v>269.79199999999997</v>
      </c>
      <c r="C14">
        <v>100</v>
      </c>
      <c r="D14">
        <v>100</v>
      </c>
      <c r="E14">
        <v>0.433</v>
      </c>
      <c r="F14">
        <v>78.811000000000007</v>
      </c>
      <c r="G14">
        <v>7.6589999999999998</v>
      </c>
      <c r="H14">
        <v>84.411000000000001</v>
      </c>
      <c r="I14">
        <v>51.996000000000002</v>
      </c>
      <c r="J14">
        <v>7.9240000000000004</v>
      </c>
      <c r="K14">
        <v>230.56899999999999</v>
      </c>
      <c r="L14">
        <v>11.456</v>
      </c>
      <c r="M14">
        <v>52.686</v>
      </c>
      <c r="N14">
        <v>11.409000000000001</v>
      </c>
      <c r="O14">
        <v>0.90500000000000003</v>
      </c>
      <c r="P14">
        <v>2.577</v>
      </c>
      <c r="Q14">
        <v>0</v>
      </c>
      <c r="R14">
        <v>24.172999999999998</v>
      </c>
      <c r="S14">
        <v>56.4</v>
      </c>
      <c r="T14">
        <v>17.3</v>
      </c>
    </row>
    <row r="15" spans="1:21" x14ac:dyDescent="0.3">
      <c r="A15" t="s">
        <v>141</v>
      </c>
      <c r="B15">
        <v>268.78100000000001</v>
      </c>
      <c r="C15">
        <v>100</v>
      </c>
      <c r="D15">
        <v>100</v>
      </c>
      <c r="E15">
        <v>0.49399999999999999</v>
      </c>
      <c r="F15">
        <v>80.147999999999996</v>
      </c>
      <c r="G15">
        <v>8.2729999999999997</v>
      </c>
      <c r="H15">
        <v>84.745000000000005</v>
      </c>
      <c r="I15">
        <v>51.807000000000002</v>
      </c>
      <c r="J15">
        <v>7.9349999999999996</v>
      </c>
      <c r="K15">
        <v>230.946</v>
      </c>
      <c r="L15">
        <v>11.478</v>
      </c>
      <c r="M15">
        <v>52.841000000000001</v>
      </c>
      <c r="N15">
        <v>11.417</v>
      </c>
      <c r="O15">
        <v>0.90500000000000003</v>
      </c>
      <c r="P15">
        <v>2.5649999999999999</v>
      </c>
      <c r="Q15">
        <v>0</v>
      </c>
      <c r="R15">
        <v>24.152999999999999</v>
      </c>
      <c r="S15">
        <v>56.4</v>
      </c>
      <c r="T15">
        <v>17.3</v>
      </c>
    </row>
    <row r="16" spans="1:21" x14ac:dyDescent="0.3">
      <c r="A16" t="s">
        <v>142</v>
      </c>
      <c r="B16">
        <v>269.988</v>
      </c>
      <c r="C16">
        <v>100</v>
      </c>
      <c r="D16">
        <v>100</v>
      </c>
      <c r="E16">
        <v>0.47199999999999998</v>
      </c>
      <c r="F16">
        <v>80.194000000000003</v>
      </c>
      <c r="G16">
        <v>8.07</v>
      </c>
      <c r="H16">
        <v>84.497</v>
      </c>
      <c r="I16">
        <v>51.777999999999999</v>
      </c>
      <c r="J16">
        <v>7.9260000000000002</v>
      </c>
      <c r="K16">
        <v>230.601</v>
      </c>
      <c r="L16">
        <v>11.461</v>
      </c>
      <c r="M16">
        <v>52.838000000000001</v>
      </c>
      <c r="N16">
        <v>11.404</v>
      </c>
      <c r="O16">
        <v>0.89100000000000001</v>
      </c>
      <c r="P16">
        <v>2.5880000000000001</v>
      </c>
      <c r="Q16">
        <v>0</v>
      </c>
      <c r="R16">
        <v>24.145</v>
      </c>
      <c r="S16">
        <v>56.4</v>
      </c>
      <c r="T16">
        <v>17.3</v>
      </c>
    </row>
    <row r="17" spans="1:20" x14ac:dyDescent="0.3">
      <c r="A17" t="s">
        <v>143</v>
      </c>
      <c r="B17">
        <v>270.02300000000002</v>
      </c>
      <c r="C17">
        <v>100</v>
      </c>
      <c r="D17">
        <v>100</v>
      </c>
      <c r="E17">
        <v>0.41599999999999998</v>
      </c>
      <c r="F17">
        <v>80.861000000000004</v>
      </c>
      <c r="G17">
        <v>7.7869999999999999</v>
      </c>
      <c r="H17">
        <v>84.534000000000006</v>
      </c>
      <c r="I17">
        <v>52.320999999999998</v>
      </c>
      <c r="J17">
        <v>7.931</v>
      </c>
      <c r="K17">
        <v>230.881</v>
      </c>
      <c r="L17">
        <v>11.476000000000001</v>
      </c>
      <c r="M17">
        <v>52.843000000000004</v>
      </c>
      <c r="N17">
        <v>11.417</v>
      </c>
      <c r="O17">
        <v>0.92600000000000005</v>
      </c>
      <c r="P17">
        <v>2.5670000000000002</v>
      </c>
      <c r="Q17">
        <v>0</v>
      </c>
      <c r="R17">
        <v>24.177</v>
      </c>
      <c r="S17">
        <v>56.3</v>
      </c>
      <c r="T17">
        <v>17.3</v>
      </c>
    </row>
    <row r="18" spans="1:20" x14ac:dyDescent="0.3">
      <c r="A18" t="s">
        <v>144</v>
      </c>
      <c r="B18">
        <v>269.81400000000002</v>
      </c>
      <c r="C18">
        <v>100</v>
      </c>
      <c r="D18">
        <v>100</v>
      </c>
      <c r="E18">
        <v>0.46300000000000002</v>
      </c>
      <c r="F18">
        <v>80.180999999999997</v>
      </c>
      <c r="G18">
        <v>7.6310000000000002</v>
      </c>
      <c r="H18">
        <v>85.370999999999995</v>
      </c>
      <c r="I18">
        <v>53.256999999999998</v>
      </c>
      <c r="J18">
        <v>7.9219999999999997</v>
      </c>
      <c r="K18">
        <v>230.7</v>
      </c>
      <c r="L18">
        <v>11.459</v>
      </c>
      <c r="M18">
        <v>52.686</v>
      </c>
      <c r="N18">
        <v>11.407</v>
      </c>
      <c r="O18">
        <v>0.91300000000000003</v>
      </c>
      <c r="P18">
        <v>2.5670000000000002</v>
      </c>
      <c r="Q18">
        <v>0</v>
      </c>
      <c r="R18">
        <v>24.184999999999999</v>
      </c>
      <c r="S18">
        <v>56.4</v>
      </c>
      <c r="T18">
        <v>17.3</v>
      </c>
    </row>
    <row r="19" spans="1:20" x14ac:dyDescent="0.3">
      <c r="A19" t="s">
        <v>145</v>
      </c>
      <c r="B19">
        <v>269.286</v>
      </c>
      <c r="C19">
        <v>100</v>
      </c>
      <c r="D19">
        <v>100</v>
      </c>
      <c r="E19">
        <v>0.504</v>
      </c>
      <c r="F19">
        <v>80.147999999999996</v>
      </c>
      <c r="G19">
        <v>7.899</v>
      </c>
      <c r="H19">
        <v>84.656000000000006</v>
      </c>
      <c r="I19">
        <v>51.877000000000002</v>
      </c>
      <c r="J19">
        <v>7.9370000000000003</v>
      </c>
      <c r="K19">
        <v>230.89699999999999</v>
      </c>
      <c r="L19">
        <v>11.464</v>
      </c>
      <c r="M19">
        <v>52.798000000000002</v>
      </c>
      <c r="N19">
        <v>11.414</v>
      </c>
      <c r="O19">
        <v>0.89800000000000002</v>
      </c>
      <c r="P19">
        <v>2.5680000000000001</v>
      </c>
      <c r="Q19">
        <v>0</v>
      </c>
      <c r="R19">
        <v>24.219000000000001</v>
      </c>
      <c r="S19">
        <v>56.5</v>
      </c>
      <c r="T19">
        <v>17.3</v>
      </c>
    </row>
    <row r="20" spans="1:20" x14ac:dyDescent="0.3">
      <c r="A20" t="s">
        <v>146</v>
      </c>
      <c r="B20">
        <v>269.88200000000001</v>
      </c>
      <c r="C20">
        <v>100</v>
      </c>
      <c r="D20">
        <v>100</v>
      </c>
      <c r="E20">
        <v>0.46100000000000002</v>
      </c>
      <c r="F20">
        <v>79.852999999999994</v>
      </c>
      <c r="G20">
        <v>8.0960000000000001</v>
      </c>
      <c r="H20">
        <v>84.756</v>
      </c>
      <c r="I20">
        <v>51.954999999999998</v>
      </c>
      <c r="J20">
        <v>7.923</v>
      </c>
      <c r="K20">
        <v>230.601</v>
      </c>
      <c r="L20">
        <v>11.457000000000001</v>
      </c>
      <c r="M20">
        <v>52.798000000000002</v>
      </c>
      <c r="N20">
        <v>11.409000000000001</v>
      </c>
      <c r="O20">
        <v>0.90500000000000003</v>
      </c>
      <c r="P20">
        <v>2.5579999999999998</v>
      </c>
      <c r="Q20">
        <v>0</v>
      </c>
      <c r="R20">
        <v>24.254000000000001</v>
      </c>
      <c r="S20">
        <v>56.3</v>
      </c>
      <c r="T20">
        <v>17.3</v>
      </c>
    </row>
    <row r="21" spans="1:20" x14ac:dyDescent="0.3">
      <c r="A21" t="s">
        <v>147</v>
      </c>
      <c r="B21">
        <v>269.77699999999999</v>
      </c>
      <c r="C21">
        <v>100</v>
      </c>
      <c r="D21">
        <v>100</v>
      </c>
      <c r="E21">
        <v>0.41299999999999998</v>
      </c>
      <c r="F21">
        <v>79.909000000000006</v>
      </c>
      <c r="G21">
        <v>8.1189999999999998</v>
      </c>
      <c r="H21">
        <v>84.59</v>
      </c>
      <c r="I21">
        <v>52.23</v>
      </c>
      <c r="J21">
        <v>7.9359999999999999</v>
      </c>
      <c r="K21">
        <v>230.864</v>
      </c>
      <c r="L21">
        <v>11.471</v>
      </c>
      <c r="M21">
        <v>52.756999999999998</v>
      </c>
      <c r="N21">
        <v>11.425000000000001</v>
      </c>
      <c r="O21">
        <v>0.91400000000000003</v>
      </c>
      <c r="P21">
        <v>2.5630000000000002</v>
      </c>
      <c r="Q21">
        <v>0</v>
      </c>
      <c r="R21">
        <v>24.285</v>
      </c>
      <c r="S21">
        <v>56.5</v>
      </c>
      <c r="T21">
        <v>17.3</v>
      </c>
    </row>
    <row r="22" spans="1:20" x14ac:dyDescent="0.3">
      <c r="A22" t="s">
        <v>148</v>
      </c>
      <c r="B22">
        <v>269.31599999999997</v>
      </c>
      <c r="C22">
        <v>100</v>
      </c>
      <c r="D22">
        <v>100</v>
      </c>
      <c r="E22">
        <v>0.45200000000000001</v>
      </c>
      <c r="F22">
        <v>80.456999999999994</v>
      </c>
      <c r="G22">
        <v>8.3520000000000003</v>
      </c>
      <c r="H22">
        <v>84.613</v>
      </c>
      <c r="I22">
        <v>52.155999999999999</v>
      </c>
      <c r="J22">
        <v>7.9240000000000004</v>
      </c>
      <c r="K22">
        <v>230.58500000000001</v>
      </c>
      <c r="L22">
        <v>11.462999999999999</v>
      </c>
      <c r="M22">
        <v>52.808</v>
      </c>
      <c r="N22">
        <v>11.407999999999999</v>
      </c>
      <c r="O22">
        <v>0.91100000000000003</v>
      </c>
      <c r="P22">
        <v>2.5750000000000002</v>
      </c>
      <c r="Q22">
        <v>0</v>
      </c>
      <c r="R22">
        <v>24.256</v>
      </c>
      <c r="S22">
        <v>56.4</v>
      </c>
      <c r="T22">
        <v>17.3</v>
      </c>
    </row>
    <row r="23" spans="1:20" x14ac:dyDescent="0.3">
      <c r="A23" t="s">
        <v>149</v>
      </c>
      <c r="B23">
        <v>269.798</v>
      </c>
      <c r="C23">
        <v>100</v>
      </c>
      <c r="D23">
        <v>100</v>
      </c>
      <c r="E23">
        <v>0.47699999999999998</v>
      </c>
      <c r="F23">
        <v>80.319000000000003</v>
      </c>
      <c r="G23">
        <v>8.3420000000000005</v>
      </c>
      <c r="H23">
        <v>84.721999999999994</v>
      </c>
      <c r="I23">
        <v>51.884999999999998</v>
      </c>
      <c r="J23">
        <v>7.9349999999999996</v>
      </c>
      <c r="K23">
        <v>230.91399999999999</v>
      </c>
      <c r="L23">
        <v>11.474</v>
      </c>
      <c r="M23">
        <v>52.822000000000003</v>
      </c>
      <c r="N23">
        <v>11.407</v>
      </c>
      <c r="O23">
        <v>0.91200000000000003</v>
      </c>
      <c r="P23">
        <v>2.5819999999999999</v>
      </c>
      <c r="Q23">
        <v>0</v>
      </c>
      <c r="R23">
        <v>24.277000000000001</v>
      </c>
      <c r="S23">
        <v>56.4</v>
      </c>
      <c r="T23">
        <v>17.3</v>
      </c>
    </row>
    <row r="24" spans="1:20" x14ac:dyDescent="0.3">
      <c r="A24" t="s">
        <v>150</v>
      </c>
      <c r="B24">
        <v>269.89800000000002</v>
      </c>
      <c r="C24">
        <v>100</v>
      </c>
      <c r="D24">
        <v>100</v>
      </c>
      <c r="E24">
        <v>0.41899999999999998</v>
      </c>
      <c r="F24">
        <v>80.188000000000002</v>
      </c>
      <c r="G24">
        <v>8.359</v>
      </c>
      <c r="H24">
        <v>84.54</v>
      </c>
      <c r="I24">
        <v>51.877000000000002</v>
      </c>
      <c r="J24">
        <v>7.9260000000000002</v>
      </c>
      <c r="K24">
        <v>230.65100000000001</v>
      </c>
      <c r="L24">
        <v>11.461</v>
      </c>
      <c r="M24">
        <v>52.945999999999998</v>
      </c>
      <c r="N24">
        <v>11.414999999999999</v>
      </c>
      <c r="O24">
        <v>0.91200000000000003</v>
      </c>
      <c r="P24">
        <v>2.5880000000000001</v>
      </c>
      <c r="Q24">
        <v>0</v>
      </c>
      <c r="R24">
        <v>24.277999999999999</v>
      </c>
      <c r="S24">
        <v>56.3</v>
      </c>
      <c r="T24">
        <v>17.3</v>
      </c>
    </row>
    <row r="25" spans="1:20" ht="15" thickBot="1" x14ac:dyDescent="0.35">
      <c r="A25" t="s">
        <v>151</v>
      </c>
      <c r="B25">
        <v>270.74</v>
      </c>
      <c r="C25">
        <v>100</v>
      </c>
      <c r="D25">
        <v>100</v>
      </c>
      <c r="E25">
        <v>0.49199999999999999</v>
      </c>
      <c r="F25">
        <v>80.093000000000004</v>
      </c>
      <c r="G25">
        <v>7.8689999999999998</v>
      </c>
      <c r="H25">
        <v>84.826999999999998</v>
      </c>
      <c r="I25">
        <v>52.148000000000003</v>
      </c>
      <c r="J25">
        <v>7.9349999999999996</v>
      </c>
      <c r="K25">
        <v>230.91399999999999</v>
      </c>
      <c r="L25">
        <v>11.475</v>
      </c>
      <c r="M25">
        <v>52.859000000000002</v>
      </c>
      <c r="N25">
        <v>11.414</v>
      </c>
      <c r="O25">
        <v>0.91</v>
      </c>
      <c r="P25">
        <v>2.577</v>
      </c>
      <c r="Q25">
        <v>0</v>
      </c>
      <c r="R25">
        <v>24.321000000000002</v>
      </c>
      <c r="S25">
        <v>56.4</v>
      </c>
      <c r="T25">
        <v>17.3</v>
      </c>
    </row>
    <row r="26" spans="1:20" ht="15" thickBot="1" x14ac:dyDescent="0.35">
      <c r="A26" t="s">
        <v>0</v>
      </c>
      <c r="B26" s="1">
        <f t="shared" ref="B26:S26" si="0">AVERAGE(B6:B25)</f>
        <v>269.56099999999998</v>
      </c>
      <c r="C26" s="1">
        <f t="shared" si="0"/>
        <v>100</v>
      </c>
      <c r="D26" s="1">
        <f t="shared" si="0"/>
        <v>100</v>
      </c>
      <c r="E26" s="10">
        <f t="shared" si="0"/>
        <v>0.45890000000000003</v>
      </c>
      <c r="F26" s="1">
        <f t="shared" si="0"/>
        <v>79.966750000000019</v>
      </c>
      <c r="G26" s="1">
        <f t="shared" si="0"/>
        <v>7.9787000000000017</v>
      </c>
      <c r="H26" s="10">
        <f t="shared" si="0"/>
        <v>84.665449999999993</v>
      </c>
      <c r="I26" s="1">
        <f t="shared" si="0"/>
        <v>52.086849999999991</v>
      </c>
      <c r="J26" s="8">
        <f t="shared" si="0"/>
        <v>7.9297500000000003</v>
      </c>
      <c r="K26" s="1">
        <f t="shared" si="0"/>
        <v>230.76824999999999</v>
      </c>
      <c r="L26" s="1">
        <f t="shared" si="0"/>
        <v>11.465549999999999</v>
      </c>
      <c r="M26" s="1">
        <f t="shared" si="0"/>
        <v>52.79379999999999</v>
      </c>
      <c r="N26" s="1">
        <f t="shared" si="0"/>
        <v>11.411199999999997</v>
      </c>
      <c r="O26" s="1">
        <f t="shared" si="0"/>
        <v>0.90864999999999996</v>
      </c>
      <c r="P26" s="1">
        <f t="shared" si="0"/>
        <v>2.5727500000000001</v>
      </c>
      <c r="Q26" s="1">
        <f t="shared" si="0"/>
        <v>0</v>
      </c>
      <c r="R26" s="1">
        <f t="shared" si="0"/>
        <v>24.200350000000007</v>
      </c>
      <c r="S26" s="1">
        <f t="shared" si="0"/>
        <v>56.404999999999994</v>
      </c>
      <c r="T26" s="8">
        <f>AVERAGE(T6:T25)</f>
        <v>17.300000000000004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1.6641000000000001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677-6FAE-4CF3-857E-E17A89FDC1BA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5" sqref="N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0.43280092592592595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69.731972739264251</v>
      </c>
      <c r="M2" s="8">
        <f>(H26*0.001*60)*(K2/100)*(G2/I2)</f>
        <v>2.7387914670507838</v>
      </c>
      <c r="O2" s="9">
        <f>100*((E26*C2)/((E26*C2)+(M2*E2)))</f>
        <v>14.259987682949394</v>
      </c>
      <c r="Q2" s="10">
        <f>100*J26*(1/(((C2/3.6)*E26)+((E2/3.6)*M2)))</f>
        <v>22.687375659141562</v>
      </c>
      <c r="S2" s="6">
        <v>3.54</v>
      </c>
      <c r="U2" s="10">
        <f>100*((((G26*0.001*60)*(C26-D26)*(S2/3.6)))/(((C2/3.6)*E26)+((E2/3.6)*M2)))</f>
        <v>55.704112619756906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152</v>
      </c>
      <c r="B6">
        <v>306.05799999999999</v>
      </c>
      <c r="C6">
        <v>100</v>
      </c>
      <c r="D6">
        <v>100</v>
      </c>
      <c r="E6">
        <v>0.57499999999999996</v>
      </c>
      <c r="F6">
        <v>80.349000000000004</v>
      </c>
      <c r="G6">
        <v>10.153</v>
      </c>
      <c r="H6">
        <v>91.602999999999994</v>
      </c>
      <c r="I6">
        <v>52.274999999999999</v>
      </c>
      <c r="J6">
        <v>10.069000000000001</v>
      </c>
      <c r="K6">
        <v>230.28899999999999</v>
      </c>
      <c r="L6">
        <v>14.497999999999999</v>
      </c>
      <c r="M6">
        <v>52.658000000000001</v>
      </c>
      <c r="N6">
        <v>14.422000000000001</v>
      </c>
      <c r="O6">
        <v>0.93300000000000005</v>
      </c>
      <c r="P6">
        <v>2.4580000000000002</v>
      </c>
      <c r="Q6">
        <v>0</v>
      </c>
      <c r="R6">
        <v>26.379000000000001</v>
      </c>
      <c r="S6">
        <v>61</v>
      </c>
      <c r="T6">
        <v>21</v>
      </c>
    </row>
    <row r="7" spans="1:21" x14ac:dyDescent="0.3">
      <c r="A7" t="s">
        <v>153</v>
      </c>
      <c r="B7">
        <v>306.37099999999998</v>
      </c>
      <c r="C7">
        <v>100</v>
      </c>
      <c r="D7">
        <v>100</v>
      </c>
      <c r="E7">
        <v>0.58499999999999996</v>
      </c>
      <c r="F7">
        <v>80.581999999999994</v>
      </c>
      <c r="G7">
        <v>9.8719999999999999</v>
      </c>
      <c r="H7">
        <v>91.668999999999997</v>
      </c>
      <c r="I7">
        <v>52.62</v>
      </c>
      <c r="J7">
        <v>10.071999999999999</v>
      </c>
      <c r="K7">
        <v>230.58500000000001</v>
      </c>
      <c r="L7">
        <v>14.515000000000001</v>
      </c>
      <c r="M7">
        <v>52.755000000000003</v>
      </c>
      <c r="N7">
        <v>14.423999999999999</v>
      </c>
      <c r="O7">
        <v>0.90200000000000002</v>
      </c>
      <c r="P7">
        <v>2.4830000000000001</v>
      </c>
      <c r="Q7">
        <v>0</v>
      </c>
      <c r="R7">
        <v>26.385000000000002</v>
      </c>
      <c r="S7">
        <v>60.8</v>
      </c>
      <c r="T7">
        <v>21</v>
      </c>
    </row>
    <row r="8" spans="1:21" x14ac:dyDescent="0.3">
      <c r="A8" t="s">
        <v>154</v>
      </c>
      <c r="B8">
        <v>306.12900000000002</v>
      </c>
      <c r="C8">
        <v>100</v>
      </c>
      <c r="D8">
        <v>100</v>
      </c>
      <c r="E8">
        <v>0.48199999999999998</v>
      </c>
      <c r="F8">
        <v>80.191000000000003</v>
      </c>
      <c r="G8">
        <v>9.9619999999999997</v>
      </c>
      <c r="H8">
        <v>91.823999999999998</v>
      </c>
      <c r="I8">
        <v>52.555</v>
      </c>
      <c r="J8">
        <v>10.138</v>
      </c>
      <c r="K8">
        <v>230.99600000000001</v>
      </c>
      <c r="L8">
        <v>14.535</v>
      </c>
      <c r="M8">
        <v>52.536000000000001</v>
      </c>
      <c r="N8">
        <v>14.413</v>
      </c>
      <c r="O8">
        <v>0.92900000000000005</v>
      </c>
      <c r="P8">
        <v>2.472</v>
      </c>
      <c r="Q8">
        <v>0</v>
      </c>
      <c r="R8">
        <v>26.446000000000002</v>
      </c>
      <c r="S8">
        <v>61</v>
      </c>
      <c r="T8">
        <v>21</v>
      </c>
    </row>
    <row r="9" spans="1:21" x14ac:dyDescent="0.3">
      <c r="A9" t="s">
        <v>155</v>
      </c>
      <c r="B9">
        <v>306.79899999999998</v>
      </c>
      <c r="C9">
        <v>100</v>
      </c>
      <c r="D9">
        <v>100</v>
      </c>
      <c r="E9">
        <v>0.57999999999999996</v>
      </c>
      <c r="F9">
        <v>80.578999999999994</v>
      </c>
      <c r="G9">
        <v>9.9949999999999992</v>
      </c>
      <c r="H9">
        <v>91.653000000000006</v>
      </c>
      <c r="I9">
        <v>52.640999999999998</v>
      </c>
      <c r="J9">
        <v>10.061999999999999</v>
      </c>
      <c r="K9">
        <v>230.22399999999999</v>
      </c>
      <c r="L9">
        <v>14.528</v>
      </c>
      <c r="M9">
        <v>52.823999999999998</v>
      </c>
      <c r="N9">
        <v>14.422000000000001</v>
      </c>
      <c r="O9">
        <v>0.92600000000000005</v>
      </c>
      <c r="P9">
        <v>2.472</v>
      </c>
      <c r="Q9">
        <v>0</v>
      </c>
      <c r="R9">
        <v>26.396000000000001</v>
      </c>
      <c r="S9">
        <v>60.8</v>
      </c>
      <c r="T9">
        <v>21</v>
      </c>
    </row>
    <row r="10" spans="1:21" x14ac:dyDescent="0.3">
      <c r="A10" t="s">
        <v>156</v>
      </c>
      <c r="B10">
        <v>306.18700000000001</v>
      </c>
      <c r="C10">
        <v>100</v>
      </c>
      <c r="D10">
        <v>100</v>
      </c>
      <c r="E10">
        <v>0.502</v>
      </c>
      <c r="F10">
        <v>80.959999999999994</v>
      </c>
      <c r="G10">
        <v>10.361000000000001</v>
      </c>
      <c r="H10">
        <v>91.802999999999997</v>
      </c>
      <c r="I10">
        <v>52.357999999999997</v>
      </c>
      <c r="J10">
        <v>10.067</v>
      </c>
      <c r="K10">
        <v>230.322</v>
      </c>
      <c r="L10">
        <v>14.544</v>
      </c>
      <c r="M10">
        <v>52.743000000000002</v>
      </c>
      <c r="N10">
        <v>14.414</v>
      </c>
      <c r="O10">
        <v>0.92700000000000005</v>
      </c>
      <c r="P10">
        <v>2.4550000000000001</v>
      </c>
      <c r="Q10">
        <v>0</v>
      </c>
      <c r="R10">
        <v>26.437999999999999</v>
      </c>
      <c r="S10">
        <v>61</v>
      </c>
      <c r="T10">
        <v>21</v>
      </c>
    </row>
    <row r="11" spans="1:21" x14ac:dyDescent="0.3">
      <c r="A11" t="s">
        <v>157</v>
      </c>
      <c r="B11">
        <v>306.30900000000003</v>
      </c>
      <c r="C11">
        <v>100</v>
      </c>
      <c r="D11">
        <v>100</v>
      </c>
      <c r="E11">
        <v>0.502</v>
      </c>
      <c r="F11">
        <v>79.691999999999993</v>
      </c>
      <c r="G11">
        <v>10.65</v>
      </c>
      <c r="H11">
        <v>91.738</v>
      </c>
      <c r="I11">
        <v>53.08</v>
      </c>
      <c r="J11">
        <v>10.064</v>
      </c>
      <c r="K11">
        <v>230.601</v>
      </c>
      <c r="L11">
        <v>14.585000000000001</v>
      </c>
      <c r="M11">
        <v>52.615000000000002</v>
      </c>
      <c r="N11">
        <v>14.407999999999999</v>
      </c>
      <c r="O11">
        <v>0.91400000000000003</v>
      </c>
      <c r="P11">
        <v>2.4740000000000002</v>
      </c>
      <c r="Q11">
        <v>0</v>
      </c>
      <c r="R11">
        <v>26.437000000000001</v>
      </c>
      <c r="S11">
        <v>60.8</v>
      </c>
      <c r="T11">
        <v>21</v>
      </c>
    </row>
    <row r="12" spans="1:21" x14ac:dyDescent="0.3">
      <c r="A12" t="s">
        <v>158</v>
      </c>
      <c r="B12">
        <v>307.05</v>
      </c>
      <c r="C12">
        <v>100</v>
      </c>
      <c r="D12">
        <v>44.609000000000002</v>
      </c>
      <c r="E12">
        <v>0.58699999999999997</v>
      </c>
      <c r="F12">
        <v>80.027000000000001</v>
      </c>
      <c r="G12">
        <v>10.054</v>
      </c>
      <c r="H12">
        <v>91.567999999999998</v>
      </c>
      <c r="I12">
        <v>52.526000000000003</v>
      </c>
      <c r="J12">
        <v>10.061999999999999</v>
      </c>
      <c r="K12">
        <v>230.273</v>
      </c>
      <c r="L12">
        <v>14.555999999999999</v>
      </c>
      <c r="M12">
        <v>52.616999999999997</v>
      </c>
      <c r="N12">
        <v>14.404</v>
      </c>
      <c r="O12">
        <v>0.90700000000000003</v>
      </c>
      <c r="P12">
        <v>2.4670000000000001</v>
      </c>
      <c r="Q12">
        <v>0</v>
      </c>
      <c r="R12">
        <v>26.428999999999998</v>
      </c>
      <c r="S12">
        <v>60.9</v>
      </c>
      <c r="T12">
        <v>21</v>
      </c>
    </row>
    <row r="13" spans="1:21" x14ac:dyDescent="0.3">
      <c r="A13" t="s">
        <v>159</v>
      </c>
      <c r="B13">
        <v>307.072</v>
      </c>
      <c r="C13">
        <v>100</v>
      </c>
      <c r="D13">
        <v>42.295999999999999</v>
      </c>
      <c r="E13">
        <v>0.41599999999999998</v>
      </c>
      <c r="F13">
        <v>80.608000000000004</v>
      </c>
      <c r="G13">
        <v>10.379</v>
      </c>
      <c r="H13">
        <v>91.733000000000004</v>
      </c>
      <c r="I13">
        <v>52.222000000000001</v>
      </c>
      <c r="J13">
        <v>10.071999999999999</v>
      </c>
      <c r="K13">
        <v>230.733</v>
      </c>
      <c r="L13">
        <v>14.589</v>
      </c>
      <c r="M13">
        <v>52.728999999999999</v>
      </c>
      <c r="N13">
        <v>14.417999999999999</v>
      </c>
      <c r="O13">
        <v>0.94399999999999995</v>
      </c>
      <c r="P13">
        <v>2.4630000000000001</v>
      </c>
      <c r="Q13">
        <v>0</v>
      </c>
      <c r="R13">
        <v>26.449000000000002</v>
      </c>
      <c r="S13">
        <v>60.9</v>
      </c>
      <c r="T13">
        <v>21</v>
      </c>
    </row>
    <row r="14" spans="1:21" x14ac:dyDescent="0.3">
      <c r="A14" t="s">
        <v>160</v>
      </c>
      <c r="B14">
        <v>306.911</v>
      </c>
      <c r="C14">
        <v>100</v>
      </c>
      <c r="D14">
        <v>42.28</v>
      </c>
      <c r="E14">
        <v>0.52600000000000002</v>
      </c>
      <c r="F14">
        <v>80.536000000000001</v>
      </c>
      <c r="G14">
        <v>10.304</v>
      </c>
      <c r="H14">
        <v>91.847999999999999</v>
      </c>
      <c r="I14">
        <v>52.533999999999999</v>
      </c>
      <c r="J14">
        <v>10.065</v>
      </c>
      <c r="K14">
        <v>230.30600000000001</v>
      </c>
      <c r="L14">
        <v>14.571</v>
      </c>
      <c r="M14">
        <v>52.652000000000001</v>
      </c>
      <c r="N14">
        <v>14.41</v>
      </c>
      <c r="O14">
        <v>0.91700000000000004</v>
      </c>
      <c r="P14">
        <v>2.4740000000000002</v>
      </c>
      <c r="Q14">
        <v>0</v>
      </c>
      <c r="R14">
        <v>26.475000000000001</v>
      </c>
      <c r="S14">
        <v>60.9</v>
      </c>
      <c r="T14">
        <v>21</v>
      </c>
    </row>
    <row r="15" spans="1:21" x14ac:dyDescent="0.3">
      <c r="A15" t="s">
        <v>161</v>
      </c>
      <c r="B15">
        <v>307.05099999999999</v>
      </c>
      <c r="C15">
        <v>100</v>
      </c>
      <c r="D15">
        <v>42.362000000000002</v>
      </c>
      <c r="E15">
        <v>0.60799999999999998</v>
      </c>
      <c r="F15">
        <v>81.361000000000004</v>
      </c>
      <c r="G15">
        <v>10.589</v>
      </c>
      <c r="H15">
        <v>91.462999999999994</v>
      </c>
      <c r="I15">
        <v>52.616</v>
      </c>
      <c r="J15">
        <v>10.077</v>
      </c>
      <c r="K15">
        <v>230.749</v>
      </c>
      <c r="L15">
        <v>14.601000000000001</v>
      </c>
      <c r="M15">
        <v>52.726999999999997</v>
      </c>
      <c r="N15">
        <v>14.414</v>
      </c>
      <c r="O15">
        <v>0.91400000000000003</v>
      </c>
      <c r="P15">
        <v>2.4849999999999999</v>
      </c>
      <c r="Q15">
        <v>0</v>
      </c>
      <c r="R15">
        <v>26.44</v>
      </c>
      <c r="S15">
        <v>60.9</v>
      </c>
      <c r="T15">
        <v>21</v>
      </c>
    </row>
    <row r="16" spans="1:21" x14ac:dyDescent="0.3">
      <c r="A16" t="s">
        <v>162</v>
      </c>
      <c r="B16">
        <v>306.64400000000001</v>
      </c>
      <c r="C16">
        <v>100</v>
      </c>
      <c r="D16">
        <v>42.555999999999997</v>
      </c>
      <c r="E16">
        <v>0.501</v>
      </c>
      <c r="F16">
        <v>81.16</v>
      </c>
      <c r="G16">
        <v>10.648999999999999</v>
      </c>
      <c r="H16">
        <v>91.671999999999997</v>
      </c>
      <c r="I16">
        <v>52.423000000000002</v>
      </c>
      <c r="J16">
        <v>10.063000000000001</v>
      </c>
      <c r="K16">
        <v>230.28899999999999</v>
      </c>
      <c r="L16">
        <v>14.584</v>
      </c>
      <c r="M16">
        <v>52.795999999999999</v>
      </c>
      <c r="N16">
        <v>14.417999999999999</v>
      </c>
      <c r="O16">
        <v>0.93200000000000005</v>
      </c>
      <c r="P16">
        <v>2.48</v>
      </c>
      <c r="Q16">
        <v>0</v>
      </c>
      <c r="R16">
        <v>26.483000000000001</v>
      </c>
      <c r="S16">
        <v>60.9</v>
      </c>
      <c r="T16">
        <v>21</v>
      </c>
    </row>
    <row r="17" spans="1:20" x14ac:dyDescent="0.3">
      <c r="A17" t="s">
        <v>163</v>
      </c>
      <c r="B17">
        <v>307.16000000000003</v>
      </c>
      <c r="C17">
        <v>100</v>
      </c>
      <c r="D17">
        <v>42.686999999999998</v>
      </c>
      <c r="E17">
        <v>0.5</v>
      </c>
      <c r="F17">
        <v>81.147000000000006</v>
      </c>
      <c r="G17">
        <v>10.712999999999999</v>
      </c>
      <c r="H17">
        <v>91.498000000000005</v>
      </c>
      <c r="I17">
        <v>52.37</v>
      </c>
      <c r="J17">
        <v>10.074</v>
      </c>
      <c r="K17">
        <v>230.71600000000001</v>
      </c>
      <c r="L17">
        <v>14.608000000000001</v>
      </c>
      <c r="M17">
        <v>52.738999999999997</v>
      </c>
      <c r="N17">
        <v>14.41</v>
      </c>
      <c r="O17">
        <v>0.93500000000000005</v>
      </c>
      <c r="P17">
        <v>2.4470000000000001</v>
      </c>
      <c r="Q17">
        <v>0</v>
      </c>
      <c r="R17">
        <v>26.471</v>
      </c>
      <c r="S17">
        <v>61</v>
      </c>
      <c r="T17">
        <v>21</v>
      </c>
    </row>
    <row r="18" spans="1:20" x14ac:dyDescent="0.3">
      <c r="A18" t="s">
        <v>164</v>
      </c>
      <c r="B18">
        <v>307.13600000000002</v>
      </c>
      <c r="C18">
        <v>100</v>
      </c>
      <c r="D18">
        <v>42.74</v>
      </c>
      <c r="E18">
        <v>0.57699999999999996</v>
      </c>
      <c r="F18">
        <v>81.108000000000004</v>
      </c>
      <c r="G18">
        <v>10.875</v>
      </c>
      <c r="H18">
        <v>91.649000000000001</v>
      </c>
      <c r="I18">
        <v>52.808999999999997</v>
      </c>
      <c r="J18">
        <v>10.061</v>
      </c>
      <c r="K18">
        <v>230.25700000000001</v>
      </c>
      <c r="L18">
        <v>14.581</v>
      </c>
      <c r="M18">
        <v>52.603000000000002</v>
      </c>
      <c r="N18">
        <v>14.412000000000001</v>
      </c>
      <c r="O18">
        <v>0.92600000000000005</v>
      </c>
      <c r="P18">
        <v>2.4790000000000001</v>
      </c>
      <c r="Q18">
        <v>0</v>
      </c>
      <c r="R18">
        <v>26.428999999999998</v>
      </c>
      <c r="S18">
        <v>60.7</v>
      </c>
      <c r="T18">
        <v>21</v>
      </c>
    </row>
    <row r="19" spans="1:20" x14ac:dyDescent="0.3">
      <c r="A19" t="s">
        <v>165</v>
      </c>
      <c r="B19">
        <v>307.55799999999999</v>
      </c>
      <c r="C19">
        <v>100</v>
      </c>
      <c r="D19">
        <v>42.841999999999999</v>
      </c>
      <c r="E19">
        <v>0.437</v>
      </c>
      <c r="F19">
        <v>80.799000000000007</v>
      </c>
      <c r="G19">
        <v>10.672000000000001</v>
      </c>
      <c r="H19">
        <v>91.525000000000006</v>
      </c>
      <c r="I19">
        <v>52.46</v>
      </c>
      <c r="J19">
        <v>10.07</v>
      </c>
      <c r="K19">
        <v>230.55199999999999</v>
      </c>
      <c r="L19">
        <v>14.601000000000001</v>
      </c>
      <c r="M19">
        <v>52.661999999999999</v>
      </c>
      <c r="N19">
        <v>14.409000000000001</v>
      </c>
      <c r="O19">
        <v>0.91200000000000003</v>
      </c>
      <c r="P19">
        <v>2.4540000000000002</v>
      </c>
      <c r="Q19">
        <v>0</v>
      </c>
      <c r="R19">
        <v>26.428000000000001</v>
      </c>
      <c r="S19">
        <v>60.9</v>
      </c>
      <c r="T19">
        <v>21</v>
      </c>
    </row>
    <row r="20" spans="1:20" x14ac:dyDescent="0.3">
      <c r="A20" t="s">
        <v>166</v>
      </c>
      <c r="B20">
        <v>307.40899999999999</v>
      </c>
      <c r="C20">
        <v>100</v>
      </c>
      <c r="D20">
        <v>42.802</v>
      </c>
      <c r="E20">
        <v>0.55600000000000005</v>
      </c>
      <c r="F20">
        <v>80.561999999999998</v>
      </c>
      <c r="G20">
        <v>10.875</v>
      </c>
      <c r="H20">
        <v>91.477000000000004</v>
      </c>
      <c r="I20">
        <v>52.197000000000003</v>
      </c>
      <c r="J20">
        <v>10.063000000000001</v>
      </c>
      <c r="K20">
        <v>230.37200000000001</v>
      </c>
      <c r="L20">
        <v>14.583</v>
      </c>
      <c r="M20">
        <v>52.79</v>
      </c>
      <c r="N20">
        <v>14.414</v>
      </c>
      <c r="O20">
        <v>0.92100000000000004</v>
      </c>
      <c r="P20">
        <v>2.4710000000000001</v>
      </c>
      <c r="Q20">
        <v>0</v>
      </c>
      <c r="R20">
        <v>26.388999999999999</v>
      </c>
      <c r="S20">
        <v>60.9</v>
      </c>
      <c r="T20">
        <v>21</v>
      </c>
    </row>
    <row r="21" spans="1:20" x14ac:dyDescent="0.3">
      <c r="A21" t="s">
        <v>167</v>
      </c>
      <c r="B21">
        <v>307.29399999999998</v>
      </c>
      <c r="C21">
        <v>100</v>
      </c>
      <c r="D21">
        <v>42.923999999999999</v>
      </c>
      <c r="E21">
        <v>0.51600000000000001</v>
      </c>
      <c r="F21">
        <v>81.067999999999998</v>
      </c>
      <c r="G21">
        <v>11.099</v>
      </c>
      <c r="H21">
        <v>91.456000000000003</v>
      </c>
      <c r="I21">
        <v>52.325000000000003</v>
      </c>
      <c r="J21">
        <v>10.074999999999999</v>
      </c>
      <c r="K21">
        <v>230.733</v>
      </c>
      <c r="L21">
        <v>14.609</v>
      </c>
      <c r="M21">
        <v>52.720999999999997</v>
      </c>
      <c r="N21">
        <v>14.413</v>
      </c>
      <c r="O21">
        <v>0.91900000000000004</v>
      </c>
      <c r="P21">
        <v>2.48</v>
      </c>
      <c r="Q21">
        <v>0</v>
      </c>
      <c r="R21">
        <v>26.472999999999999</v>
      </c>
      <c r="S21">
        <v>60.9</v>
      </c>
      <c r="T21">
        <v>21</v>
      </c>
    </row>
    <row r="22" spans="1:20" x14ac:dyDescent="0.3">
      <c r="A22" t="s">
        <v>168</v>
      </c>
      <c r="B22">
        <v>307.62299999999999</v>
      </c>
      <c r="C22">
        <v>100</v>
      </c>
      <c r="D22">
        <v>42.972999999999999</v>
      </c>
      <c r="E22">
        <v>0.52400000000000002</v>
      </c>
      <c r="F22">
        <v>79.704999999999998</v>
      </c>
      <c r="G22">
        <v>11.044</v>
      </c>
      <c r="H22">
        <v>91.759</v>
      </c>
      <c r="I22">
        <v>52.591999999999999</v>
      </c>
      <c r="J22">
        <v>10.061999999999999</v>
      </c>
      <c r="K22">
        <v>230.28899999999999</v>
      </c>
      <c r="L22">
        <v>14.585000000000001</v>
      </c>
      <c r="M22">
        <v>52.676000000000002</v>
      </c>
      <c r="N22">
        <v>14.407</v>
      </c>
      <c r="O22">
        <v>0.93300000000000005</v>
      </c>
      <c r="P22">
        <v>2.472</v>
      </c>
      <c r="Q22">
        <v>0</v>
      </c>
      <c r="R22">
        <v>26.456</v>
      </c>
      <c r="S22">
        <v>61</v>
      </c>
      <c r="T22">
        <v>21</v>
      </c>
    </row>
    <row r="23" spans="1:20" x14ac:dyDescent="0.3">
      <c r="A23" t="s">
        <v>169</v>
      </c>
      <c r="B23">
        <v>307.61</v>
      </c>
      <c r="C23">
        <v>100</v>
      </c>
      <c r="D23">
        <v>43.118000000000002</v>
      </c>
      <c r="E23">
        <v>0.60299999999999998</v>
      </c>
      <c r="F23">
        <v>81.103999999999999</v>
      </c>
      <c r="G23">
        <v>10.938000000000001</v>
      </c>
      <c r="H23">
        <v>91.724999999999994</v>
      </c>
      <c r="I23">
        <v>52.570999999999998</v>
      </c>
      <c r="J23">
        <v>10.073</v>
      </c>
      <c r="K23">
        <v>230.601</v>
      </c>
      <c r="L23">
        <v>14.601000000000001</v>
      </c>
      <c r="M23">
        <v>52.923999999999999</v>
      </c>
      <c r="N23">
        <v>14.414</v>
      </c>
      <c r="O23">
        <v>0.91200000000000003</v>
      </c>
      <c r="P23">
        <v>2.4590000000000001</v>
      </c>
      <c r="Q23">
        <v>0</v>
      </c>
      <c r="R23">
        <v>26.414000000000001</v>
      </c>
      <c r="S23">
        <v>60.9</v>
      </c>
      <c r="T23">
        <v>21</v>
      </c>
    </row>
    <row r="24" spans="1:20" x14ac:dyDescent="0.3">
      <c r="A24" t="s">
        <v>170</v>
      </c>
      <c r="B24">
        <v>308.04300000000001</v>
      </c>
      <c r="C24">
        <v>100</v>
      </c>
      <c r="D24">
        <v>43.183</v>
      </c>
      <c r="E24">
        <v>0.52700000000000002</v>
      </c>
      <c r="F24">
        <v>79.462000000000003</v>
      </c>
      <c r="G24">
        <v>10.281000000000001</v>
      </c>
      <c r="H24">
        <v>91.62</v>
      </c>
      <c r="I24">
        <v>51.975999999999999</v>
      </c>
      <c r="J24">
        <v>10.067</v>
      </c>
      <c r="K24">
        <v>230.339</v>
      </c>
      <c r="L24">
        <v>14.585000000000001</v>
      </c>
      <c r="M24">
        <v>52.768999999999998</v>
      </c>
      <c r="N24">
        <v>14.414999999999999</v>
      </c>
      <c r="O24">
        <v>0.90700000000000003</v>
      </c>
      <c r="P24">
        <v>2.464</v>
      </c>
      <c r="Q24">
        <v>0</v>
      </c>
      <c r="R24">
        <v>26.43</v>
      </c>
      <c r="S24">
        <v>61</v>
      </c>
      <c r="T24">
        <v>21</v>
      </c>
    </row>
    <row r="25" spans="1:20" ht="15" thickBot="1" x14ac:dyDescent="0.35">
      <c r="A25" t="s">
        <v>171</v>
      </c>
      <c r="B25">
        <v>307.46300000000002</v>
      </c>
      <c r="C25">
        <v>100</v>
      </c>
      <c r="D25">
        <v>43.173000000000002</v>
      </c>
      <c r="E25">
        <v>0.56999999999999995</v>
      </c>
      <c r="F25">
        <v>80.385000000000005</v>
      </c>
      <c r="G25">
        <v>10.238</v>
      </c>
      <c r="H25">
        <v>91.596000000000004</v>
      </c>
      <c r="I25">
        <v>52.332999999999998</v>
      </c>
      <c r="J25">
        <v>10.071</v>
      </c>
      <c r="K25">
        <v>230.55199999999999</v>
      </c>
      <c r="L25">
        <v>14.593</v>
      </c>
      <c r="M25">
        <v>52.634</v>
      </c>
      <c r="N25">
        <v>14.412000000000001</v>
      </c>
      <c r="O25">
        <v>0.93200000000000005</v>
      </c>
      <c r="P25">
        <v>2.468</v>
      </c>
      <c r="Q25">
        <v>0</v>
      </c>
      <c r="R25">
        <v>26.440999999999999</v>
      </c>
      <c r="S25">
        <v>60.8</v>
      </c>
      <c r="T25">
        <v>21</v>
      </c>
    </row>
    <row r="26" spans="1:20" ht="15" thickBot="1" x14ac:dyDescent="0.35">
      <c r="A26" t="s">
        <v>0</v>
      </c>
      <c r="B26" s="1">
        <f t="shared" ref="B26:S26" si="0">AVERAGE(B6:B25)</f>
        <v>306.9938499999999</v>
      </c>
      <c r="C26" s="1">
        <f t="shared" si="0"/>
        <v>100</v>
      </c>
      <c r="D26" s="1">
        <f t="shared" si="0"/>
        <v>60.027250000000002</v>
      </c>
      <c r="E26" s="10">
        <f t="shared" si="0"/>
        <v>0.53369999999999995</v>
      </c>
      <c r="F26" s="1">
        <f t="shared" si="0"/>
        <v>80.569249999999997</v>
      </c>
      <c r="G26" s="1">
        <f t="shared" si="0"/>
        <v>10.485149999999999</v>
      </c>
      <c r="H26" s="10">
        <f t="shared" si="0"/>
        <v>91.64394999999999</v>
      </c>
      <c r="I26" s="1">
        <f t="shared" si="0"/>
        <v>52.474149999999995</v>
      </c>
      <c r="J26" s="8">
        <f t="shared" si="0"/>
        <v>10.071349999999999</v>
      </c>
      <c r="K26" s="1">
        <f t="shared" si="0"/>
        <v>230.48889999999997</v>
      </c>
      <c r="L26" s="1">
        <f t="shared" si="0"/>
        <v>14.572600000000003</v>
      </c>
      <c r="M26" s="1">
        <f t="shared" si="0"/>
        <v>52.708500000000001</v>
      </c>
      <c r="N26" s="1">
        <f t="shared" si="0"/>
        <v>14.413649999999999</v>
      </c>
      <c r="O26" s="1">
        <f t="shared" si="0"/>
        <v>0.92210000000000003</v>
      </c>
      <c r="P26" s="1">
        <f t="shared" si="0"/>
        <v>2.4688500000000007</v>
      </c>
      <c r="Q26" s="1">
        <f t="shared" si="0"/>
        <v>0</v>
      </c>
      <c r="R26" s="1">
        <f t="shared" si="0"/>
        <v>26.434400000000004</v>
      </c>
      <c r="S26" s="1">
        <f t="shared" si="0"/>
        <v>60.9</v>
      </c>
      <c r="T26" s="8">
        <f>AVERAGE(T6:T25)</f>
        <v>21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1.5467500000000007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8A82-CE39-4114-893D-86CFD3F537E9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33" sqref="G33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0.43417824074074074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69.995160109819153</v>
      </c>
      <c r="M2" s="8">
        <f>(H26*0.001*60)*(K2/100)*(G2/I2)</f>
        <v>2.9310073323643295</v>
      </c>
      <c r="O2" s="9">
        <f>100*((E26*C2)/((E26*C2)+(M2*E2)))</f>
        <v>14.614793462582853</v>
      </c>
      <c r="Q2" s="10">
        <f>100*J26*(1/(((C2/3.6)*E26)+((E2/3.6)*M2)))</f>
        <v>24.735235700654648</v>
      </c>
      <c r="S2" s="6">
        <v>3.54</v>
      </c>
      <c r="U2" s="10">
        <f>100*((((G26*0.001*60)*(C26-D26)*(S2/3.6)))/(((C2/3.6)*E26)+((E2/3.6)*M2)))</f>
        <v>205.98675137663173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172</v>
      </c>
      <c r="B6">
        <v>343.21899999999999</v>
      </c>
      <c r="C6">
        <v>100</v>
      </c>
      <c r="D6">
        <v>16.408999999999999</v>
      </c>
      <c r="E6">
        <v>0.68500000000000005</v>
      </c>
      <c r="F6">
        <v>82.238</v>
      </c>
      <c r="G6">
        <v>19.212</v>
      </c>
      <c r="H6">
        <v>97.825000000000003</v>
      </c>
      <c r="I6">
        <v>52.616</v>
      </c>
      <c r="J6">
        <v>11.804</v>
      </c>
      <c r="K6">
        <v>230.76599999999999</v>
      </c>
      <c r="L6">
        <v>17.091999999999999</v>
      </c>
      <c r="M6">
        <v>52.542000000000002</v>
      </c>
      <c r="N6">
        <v>16.965</v>
      </c>
      <c r="O6">
        <v>0.92300000000000004</v>
      </c>
      <c r="P6">
        <v>2.3679999999999999</v>
      </c>
      <c r="Q6">
        <v>0</v>
      </c>
      <c r="R6">
        <v>27.853000000000002</v>
      </c>
      <c r="S6">
        <v>64.900000000000006</v>
      </c>
      <c r="T6">
        <v>24.4</v>
      </c>
    </row>
    <row r="7" spans="1:21" x14ac:dyDescent="0.3">
      <c r="A7" t="s">
        <v>173</v>
      </c>
      <c r="B7">
        <v>343.74799999999999</v>
      </c>
      <c r="C7">
        <v>100</v>
      </c>
      <c r="D7">
        <v>16.448</v>
      </c>
      <c r="E7">
        <v>0.73</v>
      </c>
      <c r="F7">
        <v>81.787999999999997</v>
      </c>
      <c r="G7">
        <v>19.388999999999999</v>
      </c>
      <c r="H7">
        <v>97.653000000000006</v>
      </c>
      <c r="I7">
        <v>52.673999999999999</v>
      </c>
      <c r="J7">
        <v>11.792999999999999</v>
      </c>
      <c r="K7">
        <v>230.38800000000001</v>
      </c>
      <c r="L7">
        <v>17.065000000000001</v>
      </c>
      <c r="M7">
        <v>52.503999999999998</v>
      </c>
      <c r="N7">
        <v>16.957999999999998</v>
      </c>
      <c r="O7">
        <v>0.93500000000000005</v>
      </c>
      <c r="P7">
        <v>2.335</v>
      </c>
      <c r="Q7">
        <v>0</v>
      </c>
      <c r="R7">
        <v>27.687999999999999</v>
      </c>
      <c r="S7">
        <v>64.900000000000006</v>
      </c>
      <c r="T7">
        <v>24.4</v>
      </c>
    </row>
    <row r="8" spans="1:21" x14ac:dyDescent="0.3">
      <c r="A8" t="s">
        <v>174</v>
      </c>
      <c r="B8">
        <v>344.25299999999999</v>
      </c>
      <c r="C8">
        <v>100</v>
      </c>
      <c r="D8">
        <v>16.494</v>
      </c>
      <c r="E8">
        <v>0.71599999999999997</v>
      </c>
      <c r="F8">
        <v>82.527000000000001</v>
      </c>
      <c r="G8">
        <v>19.475999999999999</v>
      </c>
      <c r="H8">
        <v>97.358000000000004</v>
      </c>
      <c r="I8">
        <v>52.418999999999997</v>
      </c>
      <c r="J8">
        <v>11.803000000000001</v>
      </c>
      <c r="K8">
        <v>230.76599999999999</v>
      </c>
      <c r="L8">
        <v>17.093</v>
      </c>
      <c r="M8">
        <v>52.543999999999997</v>
      </c>
      <c r="N8">
        <v>16.965</v>
      </c>
      <c r="O8">
        <v>0.92300000000000004</v>
      </c>
      <c r="P8">
        <v>2.3719999999999999</v>
      </c>
      <c r="Q8">
        <v>0</v>
      </c>
      <c r="R8">
        <v>27.588000000000001</v>
      </c>
      <c r="S8">
        <v>64.900000000000006</v>
      </c>
      <c r="T8">
        <v>24.4</v>
      </c>
    </row>
    <row r="9" spans="1:21" x14ac:dyDescent="0.3">
      <c r="A9" t="s">
        <v>175</v>
      </c>
      <c r="B9">
        <v>343.57400000000001</v>
      </c>
      <c r="C9">
        <v>100</v>
      </c>
      <c r="D9">
        <v>16.556999999999999</v>
      </c>
      <c r="E9">
        <v>0.71099999999999997</v>
      </c>
      <c r="F9">
        <v>82.626000000000005</v>
      </c>
      <c r="G9">
        <v>19.454999999999998</v>
      </c>
      <c r="H9">
        <v>97.724000000000004</v>
      </c>
      <c r="I9">
        <v>52.859000000000002</v>
      </c>
      <c r="J9">
        <v>11.795</v>
      </c>
      <c r="K9">
        <v>230.37200000000001</v>
      </c>
      <c r="L9">
        <v>17.071000000000002</v>
      </c>
      <c r="M9">
        <v>52.598999999999997</v>
      </c>
      <c r="N9">
        <v>16.96</v>
      </c>
      <c r="O9">
        <v>0.95</v>
      </c>
      <c r="P9">
        <v>2.3639999999999999</v>
      </c>
      <c r="Q9">
        <v>0</v>
      </c>
      <c r="R9">
        <v>27.672000000000001</v>
      </c>
      <c r="S9">
        <v>65</v>
      </c>
      <c r="T9">
        <v>24.4</v>
      </c>
    </row>
    <row r="10" spans="1:21" x14ac:dyDescent="0.3">
      <c r="A10" t="s">
        <v>176</v>
      </c>
      <c r="B10">
        <v>343.38200000000001</v>
      </c>
      <c r="C10">
        <v>100</v>
      </c>
      <c r="D10">
        <v>16.701000000000001</v>
      </c>
      <c r="E10">
        <v>0.72099999999999997</v>
      </c>
      <c r="F10">
        <v>82.57</v>
      </c>
      <c r="G10">
        <v>19.501999999999999</v>
      </c>
      <c r="H10">
        <v>97.540999999999997</v>
      </c>
      <c r="I10">
        <v>52.468000000000004</v>
      </c>
      <c r="J10">
        <v>11.839</v>
      </c>
      <c r="K10">
        <v>230.83099999999999</v>
      </c>
      <c r="L10">
        <v>17.14</v>
      </c>
      <c r="M10">
        <v>52.454999999999998</v>
      </c>
      <c r="N10">
        <v>17.013999999999999</v>
      </c>
      <c r="O10">
        <v>0.94</v>
      </c>
      <c r="P10">
        <v>2.3610000000000002</v>
      </c>
      <c r="Q10">
        <v>0</v>
      </c>
      <c r="R10">
        <v>27.635999999999999</v>
      </c>
      <c r="S10">
        <v>65</v>
      </c>
      <c r="T10">
        <v>24.4</v>
      </c>
    </row>
    <row r="11" spans="1:21" x14ac:dyDescent="0.3">
      <c r="A11" t="s">
        <v>177</v>
      </c>
      <c r="B11">
        <v>343.666</v>
      </c>
      <c r="C11">
        <v>100</v>
      </c>
      <c r="D11">
        <v>16.658999999999999</v>
      </c>
      <c r="E11">
        <v>0.66800000000000004</v>
      </c>
      <c r="F11">
        <v>82.113</v>
      </c>
      <c r="G11">
        <v>19.236000000000001</v>
      </c>
      <c r="H11">
        <v>97.554000000000002</v>
      </c>
      <c r="I11">
        <v>52.652999999999999</v>
      </c>
      <c r="J11">
        <v>11.792999999999999</v>
      </c>
      <c r="K11">
        <v>230.55199999999999</v>
      </c>
      <c r="L11">
        <v>17.071999999999999</v>
      </c>
      <c r="M11">
        <v>52.460999999999999</v>
      </c>
      <c r="N11">
        <v>16.963000000000001</v>
      </c>
      <c r="O11">
        <v>0.92300000000000004</v>
      </c>
      <c r="P11">
        <v>2.3780000000000001</v>
      </c>
      <c r="Q11">
        <v>0</v>
      </c>
      <c r="R11">
        <v>27.728999999999999</v>
      </c>
      <c r="S11">
        <v>65</v>
      </c>
      <c r="T11">
        <v>24.4</v>
      </c>
    </row>
    <row r="12" spans="1:21" x14ac:dyDescent="0.3">
      <c r="A12" t="s">
        <v>178</v>
      </c>
      <c r="B12">
        <v>343.41800000000001</v>
      </c>
      <c r="C12">
        <v>100</v>
      </c>
      <c r="D12">
        <v>16.664999999999999</v>
      </c>
      <c r="E12">
        <v>0.58099999999999996</v>
      </c>
      <c r="F12">
        <v>82.460999999999999</v>
      </c>
      <c r="G12">
        <v>19.050999999999998</v>
      </c>
      <c r="H12">
        <v>97.49</v>
      </c>
      <c r="I12">
        <v>52.726999999999997</v>
      </c>
      <c r="J12">
        <v>11.802</v>
      </c>
      <c r="K12">
        <v>230.63399999999999</v>
      </c>
      <c r="L12">
        <v>17.081</v>
      </c>
      <c r="M12">
        <v>52.487000000000002</v>
      </c>
      <c r="N12">
        <v>16.959</v>
      </c>
      <c r="O12">
        <v>0.91400000000000003</v>
      </c>
      <c r="P12">
        <v>2.3559999999999999</v>
      </c>
      <c r="Q12">
        <v>0</v>
      </c>
      <c r="R12">
        <v>27.815000000000001</v>
      </c>
      <c r="S12">
        <v>64.900000000000006</v>
      </c>
      <c r="T12">
        <v>24.4</v>
      </c>
    </row>
    <row r="13" spans="1:21" x14ac:dyDescent="0.3">
      <c r="A13" t="s">
        <v>179</v>
      </c>
      <c r="B13">
        <v>343.18299999999999</v>
      </c>
      <c r="C13">
        <v>100</v>
      </c>
      <c r="D13">
        <v>16.78</v>
      </c>
      <c r="E13">
        <v>0.5</v>
      </c>
      <c r="F13">
        <v>82.783000000000001</v>
      </c>
      <c r="G13">
        <v>19.754000000000001</v>
      </c>
      <c r="H13">
        <v>97.668999999999997</v>
      </c>
      <c r="I13">
        <v>52.353000000000002</v>
      </c>
      <c r="J13">
        <v>11.794</v>
      </c>
      <c r="K13">
        <v>230.55199999999999</v>
      </c>
      <c r="L13">
        <v>17.071000000000002</v>
      </c>
      <c r="M13">
        <v>52.497999999999998</v>
      </c>
      <c r="N13">
        <v>16.954000000000001</v>
      </c>
      <c r="O13">
        <v>0.94199999999999995</v>
      </c>
      <c r="P13">
        <v>2.3730000000000002</v>
      </c>
      <c r="Q13">
        <v>0</v>
      </c>
      <c r="R13">
        <v>27.89</v>
      </c>
      <c r="S13">
        <v>64.900000000000006</v>
      </c>
      <c r="T13">
        <v>24.4</v>
      </c>
    </row>
    <row r="14" spans="1:21" x14ac:dyDescent="0.3">
      <c r="A14" t="s">
        <v>180</v>
      </c>
      <c r="B14">
        <v>343.55599999999998</v>
      </c>
      <c r="C14">
        <v>100</v>
      </c>
      <c r="D14">
        <v>16.846</v>
      </c>
      <c r="E14">
        <v>0.45800000000000002</v>
      </c>
      <c r="F14">
        <v>82.858999999999995</v>
      </c>
      <c r="G14">
        <v>20.155999999999999</v>
      </c>
      <c r="H14">
        <v>97.59</v>
      </c>
      <c r="I14">
        <v>52.768000000000001</v>
      </c>
      <c r="J14">
        <v>11.801</v>
      </c>
      <c r="K14">
        <v>230.63399999999999</v>
      </c>
      <c r="L14">
        <v>17.079000000000001</v>
      </c>
      <c r="M14">
        <v>52.508000000000003</v>
      </c>
      <c r="N14">
        <v>16.965</v>
      </c>
      <c r="O14">
        <v>0.93100000000000005</v>
      </c>
      <c r="P14">
        <v>2.347</v>
      </c>
      <c r="Q14">
        <v>0</v>
      </c>
      <c r="R14">
        <v>27.925000000000001</v>
      </c>
      <c r="S14">
        <v>65</v>
      </c>
      <c r="T14">
        <v>24.4</v>
      </c>
    </row>
    <row r="15" spans="1:21" x14ac:dyDescent="0.3">
      <c r="A15" t="s">
        <v>181</v>
      </c>
      <c r="B15">
        <v>343.798</v>
      </c>
      <c r="C15">
        <v>100</v>
      </c>
      <c r="D15">
        <v>16.812999999999999</v>
      </c>
      <c r="E15">
        <v>0.47299999999999998</v>
      </c>
      <c r="F15">
        <v>81.793999999999997</v>
      </c>
      <c r="G15">
        <v>19.728999999999999</v>
      </c>
      <c r="H15">
        <v>97.641999999999996</v>
      </c>
      <c r="I15">
        <v>52.567</v>
      </c>
      <c r="J15">
        <v>11.792</v>
      </c>
      <c r="K15">
        <v>230.55199999999999</v>
      </c>
      <c r="L15">
        <v>17.071000000000002</v>
      </c>
      <c r="M15">
        <v>52.609000000000002</v>
      </c>
      <c r="N15">
        <v>16.954999999999998</v>
      </c>
      <c r="O15">
        <v>0.94299999999999995</v>
      </c>
      <c r="P15">
        <v>2.3690000000000002</v>
      </c>
      <c r="Q15">
        <v>0</v>
      </c>
      <c r="R15">
        <v>27.902999999999999</v>
      </c>
      <c r="S15">
        <v>65</v>
      </c>
      <c r="T15">
        <v>24.4</v>
      </c>
    </row>
    <row r="16" spans="1:21" x14ac:dyDescent="0.3">
      <c r="A16" t="s">
        <v>182</v>
      </c>
      <c r="B16">
        <v>344.53500000000003</v>
      </c>
      <c r="C16">
        <v>100</v>
      </c>
      <c r="D16">
        <v>16.934999999999999</v>
      </c>
      <c r="E16">
        <v>0.44900000000000001</v>
      </c>
      <c r="F16">
        <v>82.703999999999994</v>
      </c>
      <c r="G16">
        <v>20.033999999999999</v>
      </c>
      <c r="H16">
        <v>97.734999999999999</v>
      </c>
      <c r="I16">
        <v>52.353000000000002</v>
      </c>
      <c r="J16">
        <v>11.803000000000001</v>
      </c>
      <c r="K16">
        <v>230.667</v>
      </c>
      <c r="L16">
        <v>17.081</v>
      </c>
      <c r="M16">
        <v>52.442999999999998</v>
      </c>
      <c r="N16">
        <v>16.96</v>
      </c>
      <c r="O16">
        <v>0.94499999999999995</v>
      </c>
      <c r="P16">
        <v>2.375</v>
      </c>
      <c r="Q16">
        <v>0</v>
      </c>
      <c r="R16">
        <v>28.007999999999999</v>
      </c>
      <c r="S16">
        <v>64.900000000000006</v>
      </c>
      <c r="T16">
        <v>24.4</v>
      </c>
    </row>
    <row r="17" spans="1:20" x14ac:dyDescent="0.3">
      <c r="A17" t="s">
        <v>183</v>
      </c>
      <c r="B17">
        <v>343.73500000000001</v>
      </c>
      <c r="C17">
        <v>100</v>
      </c>
      <c r="D17">
        <v>17.013000000000002</v>
      </c>
      <c r="E17">
        <v>0.54600000000000004</v>
      </c>
      <c r="F17">
        <v>81.662999999999997</v>
      </c>
      <c r="G17">
        <v>20.161000000000001</v>
      </c>
      <c r="H17">
        <v>97.863</v>
      </c>
      <c r="I17">
        <v>52.826000000000001</v>
      </c>
      <c r="J17">
        <v>11.794</v>
      </c>
      <c r="K17">
        <v>230.56899999999999</v>
      </c>
      <c r="L17">
        <v>17.077000000000002</v>
      </c>
      <c r="M17">
        <v>52.442999999999998</v>
      </c>
      <c r="N17">
        <v>16.968</v>
      </c>
      <c r="O17">
        <v>0.93200000000000005</v>
      </c>
      <c r="P17">
        <v>2.379</v>
      </c>
      <c r="Q17">
        <v>0</v>
      </c>
      <c r="R17">
        <v>27.837</v>
      </c>
      <c r="S17">
        <v>64.900000000000006</v>
      </c>
      <c r="T17">
        <v>24.4</v>
      </c>
    </row>
    <row r="18" spans="1:20" x14ac:dyDescent="0.3">
      <c r="A18" t="s">
        <v>184</v>
      </c>
      <c r="B18">
        <v>344.13400000000001</v>
      </c>
      <c r="C18">
        <v>100</v>
      </c>
      <c r="D18">
        <v>17.094999999999999</v>
      </c>
      <c r="E18">
        <v>0.65700000000000003</v>
      </c>
      <c r="F18">
        <v>82.224999999999994</v>
      </c>
      <c r="G18">
        <v>20.407</v>
      </c>
      <c r="H18">
        <v>97.784000000000006</v>
      </c>
      <c r="I18">
        <v>52.62</v>
      </c>
      <c r="J18">
        <v>11.805</v>
      </c>
      <c r="K18">
        <v>230.71600000000001</v>
      </c>
      <c r="L18">
        <v>17.099</v>
      </c>
      <c r="M18">
        <v>52.633000000000003</v>
      </c>
      <c r="N18">
        <v>16.948</v>
      </c>
      <c r="O18">
        <v>0.94399999999999995</v>
      </c>
      <c r="P18">
        <v>2.3639999999999999</v>
      </c>
      <c r="Q18">
        <v>0</v>
      </c>
      <c r="R18">
        <v>27.754000000000001</v>
      </c>
      <c r="S18">
        <v>65</v>
      </c>
      <c r="T18">
        <v>24.4</v>
      </c>
    </row>
    <row r="19" spans="1:20" x14ac:dyDescent="0.3">
      <c r="A19" t="s">
        <v>185</v>
      </c>
      <c r="B19">
        <v>344.46800000000002</v>
      </c>
      <c r="C19">
        <v>100</v>
      </c>
      <c r="D19">
        <v>17.178000000000001</v>
      </c>
      <c r="E19">
        <v>0.7</v>
      </c>
      <c r="F19">
        <v>81.734999999999999</v>
      </c>
      <c r="G19">
        <v>20.437000000000001</v>
      </c>
      <c r="H19">
        <v>97.796000000000006</v>
      </c>
      <c r="I19">
        <v>52.456000000000003</v>
      </c>
      <c r="J19">
        <v>11.792</v>
      </c>
      <c r="K19">
        <v>230.43700000000001</v>
      </c>
      <c r="L19">
        <v>17.071999999999999</v>
      </c>
      <c r="M19">
        <v>52.439</v>
      </c>
      <c r="N19">
        <v>16.960999999999999</v>
      </c>
      <c r="O19">
        <v>0.92600000000000005</v>
      </c>
      <c r="P19">
        <v>2.363</v>
      </c>
      <c r="Q19">
        <v>0</v>
      </c>
      <c r="R19">
        <v>27.815999999999999</v>
      </c>
      <c r="S19">
        <v>65</v>
      </c>
      <c r="T19">
        <v>24.4</v>
      </c>
    </row>
    <row r="20" spans="1:20" x14ac:dyDescent="0.3">
      <c r="A20" t="s">
        <v>186</v>
      </c>
      <c r="B20">
        <v>343.56900000000002</v>
      </c>
      <c r="C20">
        <v>100</v>
      </c>
      <c r="D20">
        <v>17.117999999999999</v>
      </c>
      <c r="E20">
        <v>0.63100000000000001</v>
      </c>
      <c r="F20">
        <v>82.79</v>
      </c>
      <c r="G20">
        <v>20.58</v>
      </c>
      <c r="H20">
        <v>97.935000000000002</v>
      </c>
      <c r="I20">
        <v>52.756</v>
      </c>
      <c r="J20">
        <v>11.808999999999999</v>
      </c>
      <c r="K20">
        <v>230.65100000000001</v>
      </c>
      <c r="L20">
        <v>17.087</v>
      </c>
      <c r="M20">
        <v>52.558</v>
      </c>
      <c r="N20">
        <v>16.96</v>
      </c>
      <c r="O20">
        <v>0.93799999999999994</v>
      </c>
      <c r="P20">
        <v>2.3690000000000002</v>
      </c>
      <c r="Q20">
        <v>0</v>
      </c>
      <c r="R20">
        <v>28.024000000000001</v>
      </c>
      <c r="S20">
        <v>64.900000000000006</v>
      </c>
      <c r="T20">
        <v>24.4</v>
      </c>
    </row>
    <row r="21" spans="1:20" x14ac:dyDescent="0.3">
      <c r="A21" t="s">
        <v>187</v>
      </c>
      <c r="B21">
        <v>343.81700000000001</v>
      </c>
      <c r="C21">
        <v>100</v>
      </c>
      <c r="D21">
        <v>17.224</v>
      </c>
      <c r="E21">
        <v>0.52100000000000002</v>
      </c>
      <c r="F21">
        <v>81.984999999999999</v>
      </c>
      <c r="G21">
        <v>20.664999999999999</v>
      </c>
      <c r="H21">
        <v>97.725999999999999</v>
      </c>
      <c r="I21">
        <v>52.316000000000003</v>
      </c>
      <c r="J21">
        <v>11.795999999999999</v>
      </c>
      <c r="K21">
        <v>230.601</v>
      </c>
      <c r="L21">
        <v>17.079999999999998</v>
      </c>
      <c r="M21">
        <v>52.497</v>
      </c>
      <c r="N21">
        <v>16.959</v>
      </c>
      <c r="O21">
        <v>0.92400000000000004</v>
      </c>
      <c r="P21">
        <v>2.3820000000000001</v>
      </c>
      <c r="Q21">
        <v>0</v>
      </c>
      <c r="R21">
        <v>28</v>
      </c>
      <c r="S21">
        <v>64.8</v>
      </c>
      <c r="T21">
        <v>24.4</v>
      </c>
    </row>
    <row r="22" spans="1:20" x14ac:dyDescent="0.3">
      <c r="A22" t="s">
        <v>188</v>
      </c>
      <c r="B22">
        <v>343.702</v>
      </c>
      <c r="C22">
        <v>100</v>
      </c>
      <c r="D22">
        <v>17.263000000000002</v>
      </c>
      <c r="E22">
        <v>0.49099999999999999</v>
      </c>
      <c r="F22">
        <v>82.018000000000001</v>
      </c>
      <c r="G22">
        <v>20.613</v>
      </c>
      <c r="H22">
        <v>97.668999999999997</v>
      </c>
      <c r="I22">
        <v>52.029000000000003</v>
      </c>
      <c r="J22">
        <v>11.794</v>
      </c>
      <c r="K22">
        <v>230.37200000000001</v>
      </c>
      <c r="L22">
        <v>17.065000000000001</v>
      </c>
      <c r="M22">
        <v>52.515999999999998</v>
      </c>
      <c r="N22">
        <v>16.963999999999999</v>
      </c>
      <c r="O22">
        <v>0.94699999999999995</v>
      </c>
      <c r="P22">
        <v>2.3719999999999999</v>
      </c>
      <c r="Q22">
        <v>0</v>
      </c>
      <c r="R22">
        <v>27.856000000000002</v>
      </c>
      <c r="S22">
        <v>64.8</v>
      </c>
      <c r="T22">
        <v>24.4</v>
      </c>
    </row>
    <row r="23" spans="1:20" x14ac:dyDescent="0.3">
      <c r="A23" t="s">
        <v>189</v>
      </c>
      <c r="B23">
        <v>344.00799999999998</v>
      </c>
      <c r="C23">
        <v>100</v>
      </c>
      <c r="D23">
        <v>17.289000000000001</v>
      </c>
      <c r="E23">
        <v>0.50700000000000001</v>
      </c>
      <c r="F23">
        <v>82.468000000000004</v>
      </c>
      <c r="G23">
        <v>20.943999999999999</v>
      </c>
      <c r="H23">
        <v>97.774000000000001</v>
      </c>
      <c r="I23">
        <v>52.587000000000003</v>
      </c>
      <c r="J23">
        <v>11.795</v>
      </c>
      <c r="K23">
        <v>230.48599999999999</v>
      </c>
      <c r="L23">
        <v>17.074000000000002</v>
      </c>
      <c r="M23">
        <v>52.503999999999998</v>
      </c>
      <c r="N23">
        <v>16.96</v>
      </c>
      <c r="O23">
        <v>0.93</v>
      </c>
      <c r="P23">
        <v>2.363</v>
      </c>
      <c r="Q23">
        <v>0</v>
      </c>
      <c r="R23">
        <v>27.864999999999998</v>
      </c>
      <c r="S23">
        <v>65.099999999999994</v>
      </c>
      <c r="T23">
        <v>24.4</v>
      </c>
    </row>
    <row r="24" spans="1:20" x14ac:dyDescent="0.3">
      <c r="A24" t="s">
        <v>190</v>
      </c>
      <c r="B24">
        <v>343.70299999999997</v>
      </c>
      <c r="C24">
        <v>100</v>
      </c>
      <c r="D24">
        <v>17.355</v>
      </c>
      <c r="E24">
        <v>0.48599999999999999</v>
      </c>
      <c r="F24">
        <v>82.552999999999997</v>
      </c>
      <c r="G24">
        <v>21.099</v>
      </c>
      <c r="H24">
        <v>97.96</v>
      </c>
      <c r="I24">
        <v>52.444000000000003</v>
      </c>
      <c r="J24">
        <v>11.795999999999999</v>
      </c>
      <c r="K24">
        <v>230.339</v>
      </c>
      <c r="L24">
        <v>17.074000000000002</v>
      </c>
      <c r="M24">
        <v>52.652000000000001</v>
      </c>
      <c r="N24">
        <v>16.952999999999999</v>
      </c>
      <c r="O24">
        <v>0.92600000000000005</v>
      </c>
      <c r="P24">
        <v>2.371</v>
      </c>
      <c r="Q24">
        <v>0</v>
      </c>
      <c r="R24">
        <v>27.986999999999998</v>
      </c>
      <c r="S24">
        <v>64.900000000000006</v>
      </c>
      <c r="T24">
        <v>24.4</v>
      </c>
    </row>
    <row r="25" spans="1:20" ht="15" thickBot="1" x14ac:dyDescent="0.35">
      <c r="A25" t="s">
        <v>191</v>
      </c>
      <c r="B25">
        <v>344.78300000000002</v>
      </c>
      <c r="C25">
        <v>100</v>
      </c>
      <c r="D25">
        <v>17.344999999999999</v>
      </c>
      <c r="E25">
        <v>0.52500000000000002</v>
      </c>
      <c r="F25">
        <v>82.864999999999995</v>
      </c>
      <c r="G25">
        <v>20.992000000000001</v>
      </c>
      <c r="H25">
        <v>97.852000000000004</v>
      </c>
      <c r="I25">
        <v>52.698</v>
      </c>
      <c r="J25">
        <v>11.798</v>
      </c>
      <c r="K25">
        <v>230.65100000000001</v>
      </c>
      <c r="L25">
        <v>17.085000000000001</v>
      </c>
      <c r="M25">
        <v>52.664000000000001</v>
      </c>
      <c r="N25">
        <v>16.962</v>
      </c>
      <c r="O25">
        <v>0.93</v>
      </c>
      <c r="P25">
        <v>2.3759999999999999</v>
      </c>
      <c r="Q25">
        <v>0</v>
      </c>
      <c r="R25">
        <v>27.867999999999999</v>
      </c>
      <c r="S25">
        <v>64.900000000000006</v>
      </c>
      <c r="T25">
        <v>24.4</v>
      </c>
    </row>
    <row r="26" spans="1:20" ht="15" thickBot="1" x14ac:dyDescent="0.35">
      <c r="A26" t="s">
        <v>0</v>
      </c>
      <c r="B26" s="1">
        <f t="shared" ref="B26:S26" si="0">AVERAGE(B6:B25)</f>
        <v>343.81255000000004</v>
      </c>
      <c r="C26" s="1">
        <f t="shared" si="0"/>
        <v>100</v>
      </c>
      <c r="D26" s="1">
        <f t="shared" si="0"/>
        <v>16.90935</v>
      </c>
      <c r="E26" s="10">
        <f t="shared" si="0"/>
        <v>0.58779999999999999</v>
      </c>
      <c r="F26" s="1">
        <f t="shared" si="0"/>
        <v>82.338249999999988</v>
      </c>
      <c r="G26" s="1">
        <f t="shared" si="0"/>
        <v>20.044599999999999</v>
      </c>
      <c r="H26" s="10">
        <f t="shared" si="0"/>
        <v>97.707000000000022</v>
      </c>
      <c r="I26" s="1">
        <f t="shared" si="0"/>
        <v>52.559450000000005</v>
      </c>
      <c r="J26" s="8">
        <f t="shared" si="0"/>
        <v>11.799899999999999</v>
      </c>
      <c r="K26" s="1">
        <f t="shared" si="0"/>
        <v>230.57679999999996</v>
      </c>
      <c r="L26" s="1">
        <f t="shared" si="0"/>
        <v>17.081449999999997</v>
      </c>
      <c r="M26" s="1">
        <f t="shared" si="0"/>
        <v>52.527799999999999</v>
      </c>
      <c r="N26" s="1">
        <f t="shared" si="0"/>
        <v>16.962649999999996</v>
      </c>
      <c r="O26" s="1">
        <f t="shared" si="0"/>
        <v>0.9332999999999998</v>
      </c>
      <c r="P26" s="1">
        <f t="shared" si="0"/>
        <v>2.3668500000000003</v>
      </c>
      <c r="Q26" s="1">
        <f t="shared" si="0"/>
        <v>0</v>
      </c>
      <c r="R26" s="1">
        <f t="shared" si="0"/>
        <v>27.835700000000003</v>
      </c>
      <c r="S26" s="1">
        <f t="shared" si="0"/>
        <v>64.935000000000002</v>
      </c>
      <c r="T26" s="8">
        <f>AVERAGE(T6:T25)</f>
        <v>24.399999999999991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1.4335500000000005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B508-4B62-4F38-AB80-CBBEC882864A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6" sqref="K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0.43645833333333334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59.525317646227826</v>
      </c>
      <c r="M2" s="8">
        <f>(H26*0.001*60)*(K2/100)*(G2/I2)</f>
        <v>1.7757873379577296</v>
      </c>
      <c r="O2" s="9">
        <f>100*((E26*C2)/((E26*C2)+(M2*E2)))</f>
        <v>13.284715651747971</v>
      </c>
      <c r="Q2" s="10">
        <f>100*J26*(1/(((C2/3.6)*E26)+((E2/3.6)*M2)))</f>
        <v>7.0275944486447462E-3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192</v>
      </c>
      <c r="B6">
        <v>158.33799999999999</v>
      </c>
      <c r="C6">
        <v>100</v>
      </c>
      <c r="D6">
        <v>100</v>
      </c>
      <c r="E6">
        <v>0.314</v>
      </c>
      <c r="F6">
        <v>78.709999999999994</v>
      </c>
      <c r="G6">
        <v>3.6840000000000002</v>
      </c>
      <c r="H6">
        <v>69.381</v>
      </c>
      <c r="I6">
        <v>45.212000000000003</v>
      </c>
      <c r="J6">
        <v>2E-3</v>
      </c>
      <c r="K6">
        <v>230.28899999999999</v>
      </c>
      <c r="L6">
        <v>0.01</v>
      </c>
      <c r="M6">
        <v>53.005000000000003</v>
      </c>
      <c r="N6">
        <v>0</v>
      </c>
      <c r="O6">
        <v>0.89600000000000002</v>
      </c>
      <c r="P6">
        <v>2.7949999999999999</v>
      </c>
      <c r="Q6">
        <v>0</v>
      </c>
      <c r="R6">
        <v>26.07</v>
      </c>
      <c r="S6">
        <v>38.799999999999997</v>
      </c>
      <c r="T6">
        <v>10</v>
      </c>
    </row>
    <row r="7" spans="1:21" x14ac:dyDescent="0.3">
      <c r="A7" t="s">
        <v>193</v>
      </c>
      <c r="B7">
        <v>158.63800000000001</v>
      </c>
      <c r="C7">
        <v>100</v>
      </c>
      <c r="D7">
        <v>100</v>
      </c>
      <c r="E7">
        <v>0.32600000000000001</v>
      </c>
      <c r="F7">
        <v>78.656999999999996</v>
      </c>
      <c r="G7">
        <v>3.7149999999999999</v>
      </c>
      <c r="H7">
        <v>69.557000000000002</v>
      </c>
      <c r="I7">
        <v>45.393000000000001</v>
      </c>
      <c r="J7">
        <v>2E-3</v>
      </c>
      <c r="K7">
        <v>229.994</v>
      </c>
      <c r="L7">
        <v>4.0000000000000001E-3</v>
      </c>
      <c r="M7">
        <v>53.085999999999999</v>
      </c>
      <c r="N7">
        <v>0</v>
      </c>
      <c r="O7">
        <v>0.876</v>
      </c>
      <c r="P7">
        <v>2.8029999999999999</v>
      </c>
      <c r="Q7">
        <v>0</v>
      </c>
      <c r="R7">
        <v>26.141999999999999</v>
      </c>
      <c r="S7">
        <v>38.799999999999997</v>
      </c>
      <c r="T7">
        <v>10</v>
      </c>
    </row>
    <row r="8" spans="1:21" x14ac:dyDescent="0.3">
      <c r="A8" t="s">
        <v>194</v>
      </c>
      <c r="B8">
        <v>158.62299999999999</v>
      </c>
      <c r="C8">
        <v>100</v>
      </c>
      <c r="D8">
        <v>100</v>
      </c>
      <c r="E8">
        <v>0.318</v>
      </c>
      <c r="F8">
        <v>78.236000000000004</v>
      </c>
      <c r="G8">
        <v>3.1680000000000001</v>
      </c>
      <c r="H8">
        <v>69.399000000000001</v>
      </c>
      <c r="I8">
        <v>45.298000000000002</v>
      </c>
      <c r="J8">
        <v>2E-3</v>
      </c>
      <c r="K8">
        <v>230.273</v>
      </c>
      <c r="L8">
        <v>6.0000000000000001E-3</v>
      </c>
      <c r="M8">
        <v>52.981000000000002</v>
      </c>
      <c r="N8">
        <v>1E-3</v>
      </c>
      <c r="O8">
        <v>0.878</v>
      </c>
      <c r="P8">
        <v>2.8130000000000002</v>
      </c>
      <c r="Q8">
        <v>0</v>
      </c>
      <c r="R8">
        <v>26.129000000000001</v>
      </c>
      <c r="S8">
        <v>38.799999999999997</v>
      </c>
      <c r="T8">
        <v>10</v>
      </c>
    </row>
    <row r="9" spans="1:21" x14ac:dyDescent="0.3">
      <c r="A9" t="s">
        <v>195</v>
      </c>
      <c r="B9">
        <v>158.482</v>
      </c>
      <c r="C9">
        <v>100</v>
      </c>
      <c r="D9">
        <v>100</v>
      </c>
      <c r="E9">
        <v>0.32500000000000001</v>
      </c>
      <c r="F9">
        <v>78.870999999999995</v>
      </c>
      <c r="G9">
        <v>3.59</v>
      </c>
      <c r="H9">
        <v>69.709999999999994</v>
      </c>
      <c r="I9">
        <v>45.207999999999998</v>
      </c>
      <c r="J9">
        <v>2E-3</v>
      </c>
      <c r="K9">
        <v>229.994</v>
      </c>
      <c r="L9">
        <v>4.0000000000000001E-3</v>
      </c>
      <c r="M9">
        <v>53.017000000000003</v>
      </c>
      <c r="N9">
        <v>0</v>
      </c>
      <c r="O9">
        <v>0.88</v>
      </c>
      <c r="P9">
        <v>2.782</v>
      </c>
      <c r="Q9">
        <v>0</v>
      </c>
      <c r="R9">
        <v>26.169</v>
      </c>
      <c r="S9">
        <v>38.799999999999997</v>
      </c>
      <c r="T9">
        <v>10</v>
      </c>
    </row>
    <row r="10" spans="1:21" x14ac:dyDescent="0.3">
      <c r="A10" t="s">
        <v>196</v>
      </c>
      <c r="B10">
        <v>158.14599999999999</v>
      </c>
      <c r="C10">
        <v>100</v>
      </c>
      <c r="D10">
        <v>100</v>
      </c>
      <c r="E10">
        <v>0.32400000000000001</v>
      </c>
      <c r="F10">
        <v>78.334999999999994</v>
      </c>
      <c r="G10">
        <v>3.367</v>
      </c>
      <c r="H10">
        <v>69.597999999999999</v>
      </c>
      <c r="I10">
        <v>45.426000000000002</v>
      </c>
      <c r="J10">
        <v>3.0000000000000001E-3</v>
      </c>
      <c r="K10">
        <v>230.24</v>
      </c>
      <c r="L10">
        <v>0.01</v>
      </c>
      <c r="M10">
        <v>53.061999999999998</v>
      </c>
      <c r="N10">
        <v>0</v>
      </c>
      <c r="O10">
        <v>0.91400000000000003</v>
      </c>
      <c r="P10">
        <v>2.8210000000000002</v>
      </c>
      <c r="Q10">
        <v>0</v>
      </c>
      <c r="R10">
        <v>26.273</v>
      </c>
      <c r="S10">
        <v>38.700000000000003</v>
      </c>
      <c r="T10">
        <v>10</v>
      </c>
    </row>
    <row r="11" spans="1:21" x14ac:dyDescent="0.3">
      <c r="A11" t="s">
        <v>197</v>
      </c>
      <c r="B11">
        <v>158.125</v>
      </c>
      <c r="C11">
        <v>100</v>
      </c>
      <c r="D11">
        <v>100</v>
      </c>
      <c r="E11">
        <v>0.30599999999999999</v>
      </c>
      <c r="F11">
        <v>77.593000000000004</v>
      </c>
      <c r="G11">
        <v>3.6309999999999998</v>
      </c>
      <c r="H11">
        <v>69.408000000000001</v>
      </c>
      <c r="I11">
        <v>44.908000000000001</v>
      </c>
      <c r="J11">
        <v>2E-3</v>
      </c>
      <c r="K11">
        <v>230.28899999999999</v>
      </c>
      <c r="L11">
        <v>8.0000000000000002E-3</v>
      </c>
      <c r="M11">
        <v>53.084000000000003</v>
      </c>
      <c r="N11">
        <v>0</v>
      </c>
      <c r="O11">
        <v>0.873</v>
      </c>
      <c r="P11">
        <v>2.8159999999999998</v>
      </c>
      <c r="Q11">
        <v>0</v>
      </c>
      <c r="R11">
        <v>26.29</v>
      </c>
      <c r="S11">
        <v>38.799999999999997</v>
      </c>
      <c r="T11">
        <v>10</v>
      </c>
    </row>
    <row r="12" spans="1:21" x14ac:dyDescent="0.3">
      <c r="A12" t="s">
        <v>198</v>
      </c>
      <c r="B12">
        <v>157.94900000000001</v>
      </c>
      <c r="C12">
        <v>100</v>
      </c>
      <c r="D12">
        <v>100</v>
      </c>
      <c r="E12">
        <v>0.33400000000000002</v>
      </c>
      <c r="F12">
        <v>77.691000000000003</v>
      </c>
      <c r="G12">
        <v>3.3919999999999999</v>
      </c>
      <c r="H12">
        <v>69.527000000000001</v>
      </c>
      <c r="I12">
        <v>45.146000000000001</v>
      </c>
      <c r="J12">
        <v>2E-3</v>
      </c>
      <c r="K12">
        <v>230.273</v>
      </c>
      <c r="L12">
        <v>7.0000000000000001E-3</v>
      </c>
      <c r="M12">
        <v>53.09</v>
      </c>
      <c r="N12">
        <v>0</v>
      </c>
      <c r="O12">
        <v>0.871</v>
      </c>
      <c r="P12">
        <v>2.8079999999999998</v>
      </c>
      <c r="Q12">
        <v>0</v>
      </c>
      <c r="R12">
        <v>26.262</v>
      </c>
      <c r="S12">
        <v>38.799999999999997</v>
      </c>
      <c r="T12">
        <v>10</v>
      </c>
    </row>
    <row r="13" spans="1:21" x14ac:dyDescent="0.3">
      <c r="A13" t="s">
        <v>199</v>
      </c>
      <c r="B13">
        <v>157.83699999999999</v>
      </c>
      <c r="C13">
        <v>100</v>
      </c>
      <c r="D13">
        <v>100</v>
      </c>
      <c r="E13">
        <v>0.33400000000000002</v>
      </c>
      <c r="F13">
        <v>78.194000000000003</v>
      </c>
      <c r="G13">
        <v>3.766</v>
      </c>
      <c r="H13">
        <v>69.588999999999999</v>
      </c>
      <c r="I13">
        <v>44.896000000000001</v>
      </c>
      <c r="J13">
        <v>1E-3</v>
      </c>
      <c r="K13">
        <v>230.059</v>
      </c>
      <c r="L13">
        <v>2E-3</v>
      </c>
      <c r="M13">
        <v>53.11</v>
      </c>
      <c r="N13">
        <v>0</v>
      </c>
      <c r="O13">
        <v>0.88200000000000001</v>
      </c>
      <c r="P13">
        <v>2.8149999999999999</v>
      </c>
      <c r="Q13">
        <v>0</v>
      </c>
      <c r="R13">
        <v>26.273</v>
      </c>
      <c r="S13">
        <v>38.799999999999997</v>
      </c>
      <c r="T13">
        <v>10</v>
      </c>
    </row>
    <row r="14" spans="1:21" x14ac:dyDescent="0.3">
      <c r="A14" t="s">
        <v>200</v>
      </c>
      <c r="B14">
        <v>158.03</v>
      </c>
      <c r="C14">
        <v>100</v>
      </c>
      <c r="D14">
        <v>100</v>
      </c>
      <c r="E14">
        <v>0.313</v>
      </c>
      <c r="F14">
        <v>78.567999999999998</v>
      </c>
      <c r="G14">
        <v>3.6</v>
      </c>
      <c r="H14">
        <v>69.688999999999993</v>
      </c>
      <c r="I14">
        <v>44.978000000000002</v>
      </c>
      <c r="J14">
        <v>3.0000000000000001E-3</v>
      </c>
      <c r="K14">
        <v>230.273</v>
      </c>
      <c r="L14">
        <v>5.0000000000000001E-3</v>
      </c>
      <c r="M14">
        <v>53.23</v>
      </c>
      <c r="N14">
        <v>0</v>
      </c>
      <c r="O14">
        <v>0.876</v>
      </c>
      <c r="P14">
        <v>2.7970000000000002</v>
      </c>
      <c r="Q14">
        <v>0</v>
      </c>
      <c r="R14">
        <v>26.254999999999999</v>
      </c>
      <c r="S14">
        <v>38.799999999999997</v>
      </c>
      <c r="T14">
        <v>10</v>
      </c>
    </row>
    <row r="15" spans="1:21" x14ac:dyDescent="0.3">
      <c r="A15" t="s">
        <v>201</v>
      </c>
      <c r="B15">
        <v>157.977</v>
      </c>
      <c r="C15">
        <v>100</v>
      </c>
      <c r="D15">
        <v>100</v>
      </c>
      <c r="E15">
        <v>0.30199999999999999</v>
      </c>
      <c r="F15">
        <v>78.180999999999997</v>
      </c>
      <c r="G15">
        <v>3.6019999999999999</v>
      </c>
      <c r="H15">
        <v>69.549000000000007</v>
      </c>
      <c r="I15">
        <v>44.978000000000002</v>
      </c>
      <c r="J15">
        <v>3.0000000000000001E-3</v>
      </c>
      <c r="K15">
        <v>230.10900000000001</v>
      </c>
      <c r="L15">
        <v>7.0000000000000001E-3</v>
      </c>
      <c r="M15">
        <v>53.112000000000002</v>
      </c>
      <c r="N15">
        <v>0</v>
      </c>
      <c r="O15">
        <v>0.88100000000000001</v>
      </c>
      <c r="P15">
        <v>2.8109999999999999</v>
      </c>
      <c r="Q15">
        <v>0</v>
      </c>
      <c r="R15">
        <v>26.265000000000001</v>
      </c>
      <c r="S15">
        <v>38.799999999999997</v>
      </c>
      <c r="T15">
        <v>10</v>
      </c>
    </row>
    <row r="16" spans="1:21" x14ac:dyDescent="0.3">
      <c r="A16" t="s">
        <v>202</v>
      </c>
      <c r="B16">
        <v>157.93299999999999</v>
      </c>
      <c r="C16">
        <v>100</v>
      </c>
      <c r="D16">
        <v>100</v>
      </c>
      <c r="E16">
        <v>0.311</v>
      </c>
      <c r="F16">
        <v>78.447000000000003</v>
      </c>
      <c r="G16">
        <v>3.5590000000000002</v>
      </c>
      <c r="H16">
        <v>69.692999999999998</v>
      </c>
      <c r="I16">
        <v>44.768999999999998</v>
      </c>
      <c r="J16">
        <v>2E-3</v>
      </c>
      <c r="K16">
        <v>230.339</v>
      </c>
      <c r="L16">
        <v>8.0000000000000002E-3</v>
      </c>
      <c r="M16">
        <v>53.009</v>
      </c>
      <c r="N16">
        <v>0</v>
      </c>
      <c r="O16">
        <v>0.875</v>
      </c>
      <c r="P16">
        <v>2.7810000000000001</v>
      </c>
      <c r="Q16">
        <v>0</v>
      </c>
      <c r="R16">
        <v>26.312999999999999</v>
      </c>
      <c r="S16">
        <v>38.799999999999997</v>
      </c>
      <c r="T16">
        <v>10</v>
      </c>
    </row>
    <row r="17" spans="1:20" x14ac:dyDescent="0.3">
      <c r="A17" t="s">
        <v>203</v>
      </c>
      <c r="B17">
        <v>157.59800000000001</v>
      </c>
      <c r="C17">
        <v>100</v>
      </c>
      <c r="D17">
        <v>100</v>
      </c>
      <c r="E17">
        <v>0.32600000000000001</v>
      </c>
      <c r="F17">
        <v>78.128</v>
      </c>
      <c r="G17">
        <v>3.73</v>
      </c>
      <c r="H17">
        <v>69.816000000000003</v>
      </c>
      <c r="I17">
        <v>45.188000000000002</v>
      </c>
      <c r="J17">
        <v>0</v>
      </c>
      <c r="K17">
        <v>230.22399999999999</v>
      </c>
      <c r="L17">
        <v>4.0000000000000001E-3</v>
      </c>
      <c r="M17">
        <v>53.082000000000001</v>
      </c>
      <c r="N17">
        <v>0</v>
      </c>
      <c r="O17">
        <v>0.86799999999999999</v>
      </c>
      <c r="P17">
        <v>2.8050000000000002</v>
      </c>
      <c r="Q17">
        <v>0</v>
      </c>
      <c r="R17">
        <v>26.324999999999999</v>
      </c>
      <c r="S17">
        <v>38.799999999999997</v>
      </c>
      <c r="T17">
        <v>10</v>
      </c>
    </row>
    <row r="18" spans="1:20" x14ac:dyDescent="0.3">
      <c r="A18" t="s">
        <v>204</v>
      </c>
      <c r="B18">
        <v>157.51499999999999</v>
      </c>
      <c r="C18">
        <v>100</v>
      </c>
      <c r="D18">
        <v>100</v>
      </c>
      <c r="E18">
        <v>0.30599999999999999</v>
      </c>
      <c r="F18">
        <v>77.75</v>
      </c>
      <c r="G18">
        <v>3.5659999999999998</v>
      </c>
      <c r="H18">
        <v>69.721000000000004</v>
      </c>
      <c r="I18">
        <v>44.936999999999998</v>
      </c>
      <c r="J18">
        <v>2E-3</v>
      </c>
      <c r="K18">
        <v>230.09200000000001</v>
      </c>
      <c r="L18">
        <v>6.0000000000000001E-3</v>
      </c>
      <c r="M18">
        <v>53.034999999999997</v>
      </c>
      <c r="N18">
        <v>0</v>
      </c>
      <c r="O18">
        <v>0.88700000000000001</v>
      </c>
      <c r="P18">
        <v>2.7869999999999999</v>
      </c>
      <c r="Q18">
        <v>0</v>
      </c>
      <c r="R18">
        <v>26.34</v>
      </c>
      <c r="S18">
        <v>38.799999999999997</v>
      </c>
      <c r="T18">
        <v>10</v>
      </c>
    </row>
    <row r="19" spans="1:20" x14ac:dyDescent="0.3">
      <c r="A19" t="s">
        <v>205</v>
      </c>
      <c r="B19">
        <v>157.27000000000001</v>
      </c>
      <c r="C19">
        <v>100</v>
      </c>
      <c r="D19">
        <v>100</v>
      </c>
      <c r="E19">
        <v>0.309</v>
      </c>
      <c r="F19">
        <v>77.716999999999999</v>
      </c>
      <c r="G19">
        <v>3.6579999999999999</v>
      </c>
      <c r="H19">
        <v>67.769000000000005</v>
      </c>
      <c r="I19">
        <v>43.869</v>
      </c>
      <c r="J19">
        <v>4.0000000000000001E-3</v>
      </c>
      <c r="K19">
        <v>230.191</v>
      </c>
      <c r="L19">
        <v>4.0000000000000001E-3</v>
      </c>
      <c r="M19">
        <v>53.006999999999998</v>
      </c>
      <c r="N19">
        <v>0</v>
      </c>
      <c r="O19">
        <v>0.876</v>
      </c>
      <c r="P19">
        <v>2.8079999999999998</v>
      </c>
      <c r="Q19">
        <v>0</v>
      </c>
      <c r="R19">
        <v>26.312000000000001</v>
      </c>
      <c r="S19">
        <v>38.799999999999997</v>
      </c>
      <c r="T19">
        <v>10</v>
      </c>
    </row>
    <row r="20" spans="1:20" x14ac:dyDescent="0.3">
      <c r="A20" t="s">
        <v>206</v>
      </c>
      <c r="B20">
        <v>157.40799999999999</v>
      </c>
      <c r="C20">
        <v>100</v>
      </c>
      <c r="D20">
        <v>100</v>
      </c>
      <c r="E20">
        <v>0.33100000000000002</v>
      </c>
      <c r="F20">
        <v>78.099000000000004</v>
      </c>
      <c r="G20">
        <v>3.4950000000000001</v>
      </c>
      <c r="H20">
        <v>69.623999999999995</v>
      </c>
      <c r="I20">
        <v>45.04</v>
      </c>
      <c r="J20">
        <v>0</v>
      </c>
      <c r="K20">
        <v>230.059</v>
      </c>
      <c r="L20">
        <v>1.2999999999999999E-2</v>
      </c>
      <c r="M20">
        <v>53.036999999999999</v>
      </c>
      <c r="N20">
        <v>0</v>
      </c>
      <c r="O20">
        <v>0.878</v>
      </c>
      <c r="P20">
        <v>2.8239999999999998</v>
      </c>
      <c r="Q20">
        <v>0</v>
      </c>
      <c r="R20">
        <v>26.323</v>
      </c>
      <c r="S20">
        <v>38.799999999999997</v>
      </c>
      <c r="T20">
        <v>10</v>
      </c>
    </row>
    <row r="21" spans="1:20" x14ac:dyDescent="0.3">
      <c r="A21" t="s">
        <v>207</v>
      </c>
      <c r="B21">
        <v>157.06299999999999</v>
      </c>
      <c r="C21">
        <v>100</v>
      </c>
      <c r="D21">
        <v>100</v>
      </c>
      <c r="E21">
        <v>0.32100000000000001</v>
      </c>
      <c r="F21">
        <v>78.158000000000001</v>
      </c>
      <c r="G21">
        <v>3.3690000000000002</v>
      </c>
      <c r="H21">
        <v>69.988</v>
      </c>
      <c r="I21">
        <v>44.695</v>
      </c>
      <c r="J21">
        <v>3.0000000000000001E-3</v>
      </c>
      <c r="K21">
        <v>230.322</v>
      </c>
      <c r="L21">
        <v>2E-3</v>
      </c>
      <c r="M21">
        <v>53.055999999999997</v>
      </c>
      <c r="N21">
        <v>0</v>
      </c>
      <c r="O21">
        <v>0.86699999999999999</v>
      </c>
      <c r="P21">
        <v>2.819</v>
      </c>
      <c r="Q21">
        <v>0</v>
      </c>
      <c r="R21">
        <v>26.908000000000001</v>
      </c>
      <c r="S21">
        <v>38.700000000000003</v>
      </c>
      <c r="T21">
        <v>10</v>
      </c>
    </row>
    <row r="22" spans="1:20" x14ac:dyDescent="0.3">
      <c r="A22" t="s">
        <v>208</v>
      </c>
      <c r="B22">
        <v>157.185</v>
      </c>
      <c r="C22">
        <v>100</v>
      </c>
      <c r="D22">
        <v>100</v>
      </c>
      <c r="E22">
        <v>0.32900000000000001</v>
      </c>
      <c r="F22">
        <v>78.350999999999999</v>
      </c>
      <c r="G22">
        <v>3.4079999999999999</v>
      </c>
      <c r="H22">
        <v>70.224000000000004</v>
      </c>
      <c r="I22">
        <v>45.036000000000001</v>
      </c>
      <c r="J22">
        <v>1E-3</v>
      </c>
      <c r="K22">
        <v>230.22399999999999</v>
      </c>
      <c r="L22">
        <v>2E-3</v>
      </c>
      <c r="M22">
        <v>53.151000000000003</v>
      </c>
      <c r="N22">
        <v>1E-3</v>
      </c>
      <c r="O22">
        <v>0.88600000000000001</v>
      </c>
      <c r="P22">
        <v>2.8069999999999999</v>
      </c>
      <c r="Q22">
        <v>0</v>
      </c>
      <c r="R22">
        <v>26.864000000000001</v>
      </c>
      <c r="S22">
        <v>38.700000000000003</v>
      </c>
      <c r="T22">
        <v>10</v>
      </c>
    </row>
    <row r="23" spans="1:20" x14ac:dyDescent="0.3">
      <c r="A23" t="s">
        <v>209</v>
      </c>
      <c r="B23">
        <v>157.26</v>
      </c>
      <c r="C23">
        <v>100</v>
      </c>
      <c r="D23">
        <v>100</v>
      </c>
      <c r="E23">
        <v>0.307</v>
      </c>
      <c r="F23">
        <v>78.111999999999995</v>
      </c>
      <c r="G23">
        <v>3.6720000000000002</v>
      </c>
      <c r="H23">
        <v>69.915000000000006</v>
      </c>
      <c r="I23">
        <v>44.784999999999997</v>
      </c>
      <c r="J23">
        <v>2E-3</v>
      </c>
      <c r="K23">
        <v>230.191</v>
      </c>
      <c r="L23">
        <v>3.0000000000000001E-3</v>
      </c>
      <c r="M23">
        <v>53.027000000000001</v>
      </c>
      <c r="N23">
        <v>0</v>
      </c>
      <c r="O23">
        <v>0.88200000000000001</v>
      </c>
      <c r="P23">
        <v>2.8029999999999999</v>
      </c>
      <c r="Q23">
        <v>0</v>
      </c>
      <c r="R23">
        <v>26.463999999999999</v>
      </c>
      <c r="S23">
        <v>38.700000000000003</v>
      </c>
      <c r="T23">
        <v>10</v>
      </c>
    </row>
    <row r="24" spans="1:20" x14ac:dyDescent="0.3">
      <c r="A24" t="s">
        <v>210</v>
      </c>
      <c r="B24">
        <v>156.96100000000001</v>
      </c>
      <c r="C24">
        <v>100</v>
      </c>
      <c r="D24">
        <v>100</v>
      </c>
      <c r="E24">
        <v>0.312</v>
      </c>
      <c r="F24">
        <v>77.944000000000003</v>
      </c>
      <c r="G24">
        <v>3.528</v>
      </c>
      <c r="H24">
        <v>69.974000000000004</v>
      </c>
      <c r="I24">
        <v>44.826000000000001</v>
      </c>
      <c r="J24">
        <v>2E-3</v>
      </c>
      <c r="K24">
        <v>230.10900000000001</v>
      </c>
      <c r="L24">
        <v>8.9999999999999993E-3</v>
      </c>
      <c r="M24">
        <v>53.067999999999998</v>
      </c>
      <c r="N24">
        <v>0</v>
      </c>
      <c r="O24">
        <v>0.88</v>
      </c>
      <c r="P24">
        <v>2.8090000000000002</v>
      </c>
      <c r="Q24">
        <v>0</v>
      </c>
      <c r="R24">
        <v>26.6</v>
      </c>
      <c r="S24">
        <v>38.6</v>
      </c>
      <c r="T24">
        <v>10</v>
      </c>
    </row>
    <row r="25" spans="1:20" ht="15" thickBot="1" x14ac:dyDescent="0.35">
      <c r="A25" t="s">
        <v>211</v>
      </c>
      <c r="B25">
        <v>157.08699999999999</v>
      </c>
      <c r="C25">
        <v>100</v>
      </c>
      <c r="D25">
        <v>100</v>
      </c>
      <c r="E25">
        <v>0.32700000000000001</v>
      </c>
      <c r="F25">
        <v>78.472999999999999</v>
      </c>
      <c r="G25">
        <v>3.1930000000000001</v>
      </c>
      <c r="H25">
        <v>70.051000000000002</v>
      </c>
      <c r="I25">
        <v>44.99</v>
      </c>
      <c r="J25">
        <v>2E-3</v>
      </c>
      <c r="K25">
        <v>230.37200000000001</v>
      </c>
      <c r="L25">
        <v>0</v>
      </c>
      <c r="M25">
        <v>52.984999999999999</v>
      </c>
      <c r="N25">
        <v>0</v>
      </c>
      <c r="O25">
        <v>0.89400000000000002</v>
      </c>
      <c r="P25">
        <v>2.823</v>
      </c>
      <c r="Q25">
        <v>0</v>
      </c>
      <c r="R25">
        <v>26.594000000000001</v>
      </c>
      <c r="S25">
        <v>38.700000000000003</v>
      </c>
      <c r="T25">
        <v>10</v>
      </c>
    </row>
    <row r="26" spans="1:20" ht="15" thickBot="1" x14ac:dyDescent="0.35">
      <c r="A26" t="s">
        <v>0</v>
      </c>
      <c r="B26" s="1">
        <f t="shared" ref="B26:S26" si="0">AVERAGE(B6:B25)</f>
        <v>157.77124999999998</v>
      </c>
      <c r="C26" s="1">
        <f t="shared" si="0"/>
        <v>100</v>
      </c>
      <c r="D26" s="1">
        <f t="shared" si="0"/>
        <v>100</v>
      </c>
      <c r="E26" s="10">
        <f t="shared" si="0"/>
        <v>0.31875000000000003</v>
      </c>
      <c r="F26" s="1">
        <f t="shared" si="0"/>
        <v>78.21074999999999</v>
      </c>
      <c r="G26" s="1">
        <f t="shared" si="0"/>
        <v>3.5346500000000001</v>
      </c>
      <c r="H26" s="10">
        <f t="shared" si="0"/>
        <v>69.609099999999984</v>
      </c>
      <c r="I26" s="1">
        <f t="shared" si="0"/>
        <v>44.978900000000003</v>
      </c>
      <c r="J26" s="8">
        <f t="shared" si="0"/>
        <v>2.0000000000000005E-3</v>
      </c>
      <c r="K26" s="1">
        <f t="shared" si="0"/>
        <v>230.19580000000005</v>
      </c>
      <c r="L26" s="1">
        <f t="shared" si="0"/>
        <v>5.7000000000000011E-3</v>
      </c>
      <c r="M26" s="1">
        <f t="shared" si="0"/>
        <v>53.061699999999995</v>
      </c>
      <c r="N26" s="1">
        <f t="shared" si="0"/>
        <v>1E-4</v>
      </c>
      <c r="O26" s="1">
        <f t="shared" si="0"/>
        <v>0.88099999999999989</v>
      </c>
      <c r="P26" s="1">
        <f t="shared" si="0"/>
        <v>2.8063499999999997</v>
      </c>
      <c r="Q26" s="1">
        <f t="shared" si="0"/>
        <v>0</v>
      </c>
      <c r="R26" s="1">
        <f t="shared" si="0"/>
        <v>26.358549999999997</v>
      </c>
      <c r="S26" s="1">
        <f t="shared" si="0"/>
        <v>38.765000000000008</v>
      </c>
      <c r="T26" s="8">
        <f>AVERAGE(T6:T25)</f>
        <v>10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1.9253499999999999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735E-9630-4E21-A9DA-63756ECEFB8E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3" sqref="M33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0.43716435185185187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59.344890170493258</v>
      </c>
      <c r="M2" s="8">
        <f>(H26*0.001*60)*(K2/100)*(G2/I2)</f>
        <v>1.9010338649020939</v>
      </c>
      <c r="O2" s="9">
        <f>100*((E26*C2)/((E26*C2)+(M2*E2)))</f>
        <v>14.668977278950146</v>
      </c>
      <c r="Q2" s="10">
        <f>100*J26*(1/(((C2/3.6)*E26)+((E2/3.6)*M2)))</f>
        <v>6.519876422387239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212</v>
      </c>
      <c r="B6">
        <v>176.126</v>
      </c>
      <c r="C6">
        <v>100</v>
      </c>
      <c r="D6">
        <v>100</v>
      </c>
      <c r="E6">
        <v>0.38</v>
      </c>
      <c r="F6">
        <v>78.462999999999994</v>
      </c>
      <c r="G6">
        <v>3.625</v>
      </c>
      <c r="H6">
        <v>74.471000000000004</v>
      </c>
      <c r="I6">
        <v>43.939</v>
      </c>
      <c r="J6">
        <v>2.02</v>
      </c>
      <c r="K6">
        <v>230.38800000000001</v>
      </c>
      <c r="L6">
        <v>2.99</v>
      </c>
      <c r="M6">
        <v>52.828000000000003</v>
      </c>
      <c r="N6">
        <v>2.9470000000000001</v>
      </c>
      <c r="O6">
        <v>0.88900000000000001</v>
      </c>
      <c r="P6">
        <v>2.8340000000000001</v>
      </c>
      <c r="Q6">
        <v>0</v>
      </c>
      <c r="R6">
        <v>28.285</v>
      </c>
      <c r="S6">
        <v>41.6</v>
      </c>
      <c r="T6">
        <v>11</v>
      </c>
    </row>
    <row r="7" spans="1:21" x14ac:dyDescent="0.3">
      <c r="A7" t="s">
        <v>213</v>
      </c>
      <c r="B7">
        <v>175.92699999999999</v>
      </c>
      <c r="C7">
        <v>100</v>
      </c>
      <c r="D7">
        <v>100</v>
      </c>
      <c r="E7">
        <v>0.36199999999999999</v>
      </c>
      <c r="F7">
        <v>78.933000000000007</v>
      </c>
      <c r="G7">
        <v>4.0289999999999999</v>
      </c>
      <c r="H7">
        <v>74.811000000000007</v>
      </c>
      <c r="I7">
        <v>44.488999999999997</v>
      </c>
      <c r="J7">
        <v>2.0179999999999998</v>
      </c>
      <c r="K7">
        <v>230.48599999999999</v>
      </c>
      <c r="L7">
        <v>2.996</v>
      </c>
      <c r="M7">
        <v>52.899000000000001</v>
      </c>
      <c r="N7">
        <v>2.9540000000000002</v>
      </c>
      <c r="O7">
        <v>0.89700000000000002</v>
      </c>
      <c r="P7">
        <v>2.8239999999999998</v>
      </c>
      <c r="Q7">
        <v>0</v>
      </c>
      <c r="R7">
        <v>28.117999999999999</v>
      </c>
      <c r="S7">
        <v>41.5</v>
      </c>
      <c r="T7">
        <v>11</v>
      </c>
    </row>
    <row r="8" spans="1:21" x14ac:dyDescent="0.3">
      <c r="A8" t="s">
        <v>214</v>
      </c>
      <c r="B8">
        <v>176.15199999999999</v>
      </c>
      <c r="C8">
        <v>100</v>
      </c>
      <c r="D8">
        <v>100</v>
      </c>
      <c r="E8">
        <v>0.38500000000000001</v>
      </c>
      <c r="F8">
        <v>78.762</v>
      </c>
      <c r="G8">
        <v>4.0629999999999997</v>
      </c>
      <c r="H8">
        <v>74.358999999999995</v>
      </c>
      <c r="I8">
        <v>44.12</v>
      </c>
      <c r="J8">
        <v>2.02</v>
      </c>
      <c r="K8">
        <v>230.47</v>
      </c>
      <c r="L8">
        <v>3.0139999999999998</v>
      </c>
      <c r="M8">
        <v>52.81</v>
      </c>
      <c r="N8">
        <v>2.9460000000000002</v>
      </c>
      <c r="O8">
        <v>0.90300000000000002</v>
      </c>
      <c r="P8">
        <v>2.8159999999999998</v>
      </c>
      <c r="Q8">
        <v>0</v>
      </c>
      <c r="R8">
        <v>27.998000000000001</v>
      </c>
      <c r="S8">
        <v>41.6</v>
      </c>
      <c r="T8">
        <v>11</v>
      </c>
    </row>
    <row r="9" spans="1:21" x14ac:dyDescent="0.3">
      <c r="A9" t="s">
        <v>215</v>
      </c>
      <c r="B9">
        <v>175.8</v>
      </c>
      <c r="C9">
        <v>100</v>
      </c>
      <c r="D9">
        <v>100</v>
      </c>
      <c r="E9">
        <v>0.38700000000000001</v>
      </c>
      <c r="F9">
        <v>78.617999999999995</v>
      </c>
      <c r="G9">
        <v>3.617</v>
      </c>
      <c r="H9">
        <v>74.64</v>
      </c>
      <c r="I9">
        <v>44.177</v>
      </c>
      <c r="J9">
        <v>2.0190000000000001</v>
      </c>
      <c r="K9">
        <v>230.45400000000001</v>
      </c>
      <c r="L9">
        <v>3.0209999999999999</v>
      </c>
      <c r="M9">
        <v>52.793999999999997</v>
      </c>
      <c r="N9">
        <v>2.9449999999999998</v>
      </c>
      <c r="O9">
        <v>0.89600000000000002</v>
      </c>
      <c r="P9">
        <v>2.8140000000000001</v>
      </c>
      <c r="Q9">
        <v>0</v>
      </c>
      <c r="R9">
        <v>28.117999999999999</v>
      </c>
      <c r="S9">
        <v>41.6</v>
      </c>
      <c r="T9">
        <v>11</v>
      </c>
    </row>
    <row r="10" spans="1:21" x14ac:dyDescent="0.3">
      <c r="A10" t="s">
        <v>216</v>
      </c>
      <c r="B10">
        <v>175.74700000000001</v>
      </c>
      <c r="C10">
        <v>100</v>
      </c>
      <c r="D10">
        <v>100</v>
      </c>
      <c r="E10">
        <v>0.40200000000000002</v>
      </c>
      <c r="F10">
        <v>78.992000000000004</v>
      </c>
      <c r="G10">
        <v>3.7040000000000002</v>
      </c>
      <c r="H10">
        <v>74.852000000000004</v>
      </c>
      <c r="I10">
        <v>44.518000000000001</v>
      </c>
      <c r="J10">
        <v>2.02</v>
      </c>
      <c r="K10">
        <v>230.35499999999999</v>
      </c>
      <c r="L10">
        <v>3.0369999999999999</v>
      </c>
      <c r="M10">
        <v>52.826000000000001</v>
      </c>
      <c r="N10">
        <v>2.948</v>
      </c>
      <c r="O10">
        <v>0.93</v>
      </c>
      <c r="P10">
        <v>2.806</v>
      </c>
      <c r="Q10">
        <v>0</v>
      </c>
      <c r="R10">
        <v>28.343</v>
      </c>
      <c r="S10">
        <v>41.6</v>
      </c>
      <c r="T10">
        <v>11</v>
      </c>
    </row>
    <row r="11" spans="1:21" x14ac:dyDescent="0.3">
      <c r="A11" t="s">
        <v>217</v>
      </c>
      <c r="B11">
        <v>175.816</v>
      </c>
      <c r="C11">
        <v>100</v>
      </c>
      <c r="D11">
        <v>100</v>
      </c>
      <c r="E11">
        <v>0.371</v>
      </c>
      <c r="F11">
        <v>78.180999999999997</v>
      </c>
      <c r="G11">
        <v>3.4969999999999999</v>
      </c>
      <c r="H11">
        <v>75.072999999999993</v>
      </c>
      <c r="I11">
        <v>44.045999999999999</v>
      </c>
      <c r="J11">
        <v>2.0190000000000001</v>
      </c>
      <c r="K11">
        <v>230.536</v>
      </c>
      <c r="L11">
        <v>2.7829999999999999</v>
      </c>
      <c r="M11">
        <v>52.883000000000003</v>
      </c>
      <c r="N11">
        <v>2.95</v>
      </c>
      <c r="O11">
        <v>0.89800000000000002</v>
      </c>
      <c r="P11">
        <v>2.8050000000000002</v>
      </c>
      <c r="Q11">
        <v>0</v>
      </c>
      <c r="R11">
        <v>28.57</v>
      </c>
      <c r="S11">
        <v>41.6</v>
      </c>
      <c r="T11">
        <v>11</v>
      </c>
    </row>
    <row r="12" spans="1:21" x14ac:dyDescent="0.3">
      <c r="A12" t="s">
        <v>218</v>
      </c>
      <c r="B12">
        <v>176.077</v>
      </c>
      <c r="C12">
        <v>100</v>
      </c>
      <c r="D12">
        <v>100</v>
      </c>
      <c r="E12">
        <v>0.39</v>
      </c>
      <c r="F12">
        <v>79.156000000000006</v>
      </c>
      <c r="G12">
        <v>3.6840000000000002</v>
      </c>
      <c r="H12">
        <v>74.637</v>
      </c>
      <c r="I12">
        <v>42.383000000000003</v>
      </c>
      <c r="J12">
        <v>2.02</v>
      </c>
      <c r="K12">
        <v>230.50299999999999</v>
      </c>
      <c r="L12">
        <v>3.0430000000000001</v>
      </c>
      <c r="M12">
        <v>53.006999999999998</v>
      </c>
      <c r="N12">
        <v>2.944</v>
      </c>
      <c r="O12">
        <v>0.88700000000000001</v>
      </c>
      <c r="P12">
        <v>2.83</v>
      </c>
      <c r="Q12">
        <v>0</v>
      </c>
      <c r="R12">
        <v>28.577000000000002</v>
      </c>
      <c r="S12">
        <v>41.5</v>
      </c>
      <c r="T12">
        <v>11</v>
      </c>
    </row>
    <row r="13" spans="1:21" x14ac:dyDescent="0.3">
      <c r="A13" t="s">
        <v>219</v>
      </c>
      <c r="B13">
        <v>176.553</v>
      </c>
      <c r="C13">
        <v>100</v>
      </c>
      <c r="D13">
        <v>100</v>
      </c>
      <c r="E13">
        <v>0.38500000000000001</v>
      </c>
      <c r="F13">
        <v>78.197000000000003</v>
      </c>
      <c r="G13">
        <v>3.49</v>
      </c>
      <c r="H13">
        <v>74.933999999999997</v>
      </c>
      <c r="I13">
        <v>44.484999999999999</v>
      </c>
      <c r="J13">
        <v>2.0169999999999999</v>
      </c>
      <c r="K13">
        <v>230.45400000000001</v>
      </c>
      <c r="L13">
        <v>3.0270000000000001</v>
      </c>
      <c r="M13">
        <v>52.975999999999999</v>
      </c>
      <c r="N13">
        <v>2.9470000000000001</v>
      </c>
      <c r="O13">
        <v>0.86099999999999999</v>
      </c>
      <c r="P13">
        <v>2.827</v>
      </c>
      <c r="Q13">
        <v>0</v>
      </c>
      <c r="R13">
        <v>28.248999999999999</v>
      </c>
      <c r="S13">
        <v>41.5</v>
      </c>
      <c r="T13">
        <v>11</v>
      </c>
    </row>
    <row r="14" spans="1:21" x14ac:dyDescent="0.3">
      <c r="A14" t="s">
        <v>220</v>
      </c>
      <c r="B14">
        <v>176.38800000000001</v>
      </c>
      <c r="C14">
        <v>100</v>
      </c>
      <c r="D14">
        <v>100</v>
      </c>
      <c r="E14">
        <v>0.36799999999999999</v>
      </c>
      <c r="F14">
        <v>78.802000000000007</v>
      </c>
      <c r="G14">
        <v>3.375</v>
      </c>
      <c r="H14">
        <v>74.953999999999994</v>
      </c>
      <c r="I14">
        <v>44.255000000000003</v>
      </c>
      <c r="J14">
        <v>2.02</v>
      </c>
      <c r="K14">
        <v>230.601</v>
      </c>
      <c r="L14">
        <v>3.0270000000000001</v>
      </c>
      <c r="M14">
        <v>52.872999999999998</v>
      </c>
      <c r="N14">
        <v>2.9540000000000002</v>
      </c>
      <c r="O14">
        <v>0.88300000000000001</v>
      </c>
      <c r="P14">
        <v>2.81</v>
      </c>
      <c r="Q14">
        <v>0</v>
      </c>
      <c r="R14">
        <v>28.49</v>
      </c>
      <c r="S14">
        <v>41.5</v>
      </c>
      <c r="T14">
        <v>11</v>
      </c>
    </row>
    <row r="15" spans="1:21" x14ac:dyDescent="0.3">
      <c r="A15" t="s">
        <v>221</v>
      </c>
      <c r="B15">
        <v>176.09700000000001</v>
      </c>
      <c r="C15">
        <v>100</v>
      </c>
      <c r="D15">
        <v>100</v>
      </c>
      <c r="E15">
        <v>0.372</v>
      </c>
      <c r="F15">
        <v>78.695999999999998</v>
      </c>
      <c r="G15">
        <v>3.6970000000000001</v>
      </c>
      <c r="H15">
        <v>74.956000000000003</v>
      </c>
      <c r="I15">
        <v>44.362000000000002</v>
      </c>
      <c r="J15">
        <v>2.0190000000000001</v>
      </c>
      <c r="K15">
        <v>230.45400000000001</v>
      </c>
      <c r="L15">
        <v>2.802</v>
      </c>
      <c r="M15">
        <v>52.843000000000004</v>
      </c>
      <c r="N15">
        <v>2.9540000000000002</v>
      </c>
      <c r="O15">
        <v>0.9</v>
      </c>
      <c r="P15">
        <v>2.8109999999999999</v>
      </c>
      <c r="Q15">
        <v>0</v>
      </c>
      <c r="R15">
        <v>28.619</v>
      </c>
      <c r="S15">
        <v>41.5</v>
      </c>
      <c r="T15">
        <v>11</v>
      </c>
    </row>
    <row r="16" spans="1:21" x14ac:dyDescent="0.3">
      <c r="A16" t="s">
        <v>222</v>
      </c>
      <c r="B16">
        <v>176.07</v>
      </c>
      <c r="C16">
        <v>100</v>
      </c>
      <c r="D16">
        <v>100</v>
      </c>
      <c r="E16">
        <v>0.39800000000000002</v>
      </c>
      <c r="F16">
        <v>77.608999999999995</v>
      </c>
      <c r="G16">
        <v>3.6040000000000001</v>
      </c>
      <c r="H16">
        <v>74.974999999999994</v>
      </c>
      <c r="I16">
        <v>44.457000000000001</v>
      </c>
      <c r="J16">
        <v>2.0219999999999998</v>
      </c>
      <c r="K16">
        <v>230.56899999999999</v>
      </c>
      <c r="L16">
        <v>2.9969999999999999</v>
      </c>
      <c r="M16">
        <v>53.023000000000003</v>
      </c>
      <c r="N16">
        <v>2.9489999999999998</v>
      </c>
      <c r="O16">
        <v>0.87</v>
      </c>
      <c r="P16">
        <v>2.8260000000000001</v>
      </c>
      <c r="Q16">
        <v>0</v>
      </c>
      <c r="R16">
        <v>28.664999999999999</v>
      </c>
      <c r="S16">
        <v>41.5</v>
      </c>
      <c r="T16">
        <v>11</v>
      </c>
    </row>
    <row r="17" spans="1:20" x14ac:dyDescent="0.3">
      <c r="A17" t="s">
        <v>223</v>
      </c>
      <c r="B17">
        <v>176.51400000000001</v>
      </c>
      <c r="C17">
        <v>100</v>
      </c>
      <c r="D17">
        <v>100</v>
      </c>
      <c r="E17">
        <v>0.38100000000000001</v>
      </c>
      <c r="F17">
        <v>76.921999999999997</v>
      </c>
      <c r="G17">
        <v>3.6360000000000001</v>
      </c>
      <c r="H17">
        <v>74.811000000000007</v>
      </c>
      <c r="I17">
        <v>44.079000000000001</v>
      </c>
      <c r="J17">
        <v>2.0179999999999998</v>
      </c>
      <c r="K17">
        <v>230.50299999999999</v>
      </c>
      <c r="L17">
        <v>2.8149999999999999</v>
      </c>
      <c r="M17">
        <v>52.92</v>
      </c>
      <c r="N17">
        <v>2.9529999999999998</v>
      </c>
      <c r="O17">
        <v>0.91400000000000003</v>
      </c>
      <c r="P17">
        <v>2.82</v>
      </c>
      <c r="Q17">
        <v>0</v>
      </c>
      <c r="R17">
        <v>28.702000000000002</v>
      </c>
      <c r="S17">
        <v>41.5</v>
      </c>
      <c r="T17">
        <v>11</v>
      </c>
    </row>
    <row r="18" spans="1:20" x14ac:dyDescent="0.3">
      <c r="A18" t="s">
        <v>224</v>
      </c>
      <c r="B18">
        <v>176.155</v>
      </c>
      <c r="C18">
        <v>100</v>
      </c>
      <c r="D18">
        <v>100</v>
      </c>
      <c r="E18">
        <v>0.38700000000000001</v>
      </c>
      <c r="F18">
        <v>78.7</v>
      </c>
      <c r="G18">
        <v>3.7410000000000001</v>
      </c>
      <c r="H18">
        <v>74.813999999999993</v>
      </c>
      <c r="I18">
        <v>44.226999999999997</v>
      </c>
      <c r="J18">
        <v>2.0209999999999999</v>
      </c>
      <c r="K18">
        <v>230.273</v>
      </c>
      <c r="L18">
        <v>2.79</v>
      </c>
      <c r="M18">
        <v>52.93</v>
      </c>
      <c r="N18">
        <v>2.9470000000000001</v>
      </c>
      <c r="O18">
        <v>0.91100000000000003</v>
      </c>
      <c r="P18">
        <v>2.82</v>
      </c>
      <c r="Q18">
        <v>0</v>
      </c>
      <c r="R18">
        <v>28.613</v>
      </c>
      <c r="S18">
        <v>41.6</v>
      </c>
      <c r="T18">
        <v>11</v>
      </c>
    </row>
    <row r="19" spans="1:20" x14ac:dyDescent="0.3">
      <c r="A19" t="s">
        <v>225</v>
      </c>
      <c r="B19">
        <v>176.21700000000001</v>
      </c>
      <c r="C19">
        <v>100</v>
      </c>
      <c r="D19">
        <v>100</v>
      </c>
      <c r="E19">
        <v>0.38700000000000001</v>
      </c>
      <c r="F19">
        <v>77.671000000000006</v>
      </c>
      <c r="G19">
        <v>3.472</v>
      </c>
      <c r="H19">
        <v>75.144999999999996</v>
      </c>
      <c r="I19">
        <v>44.366</v>
      </c>
      <c r="J19">
        <v>2.0150000000000001</v>
      </c>
      <c r="K19">
        <v>230.322</v>
      </c>
      <c r="L19">
        <v>3.0510000000000002</v>
      </c>
      <c r="M19">
        <v>52.832000000000001</v>
      </c>
      <c r="N19">
        <v>2.9529999999999998</v>
      </c>
      <c r="O19">
        <v>0.88700000000000001</v>
      </c>
      <c r="P19">
        <v>2.8380000000000001</v>
      </c>
      <c r="Q19">
        <v>0</v>
      </c>
      <c r="R19">
        <v>28.722000000000001</v>
      </c>
      <c r="S19">
        <v>41.6</v>
      </c>
      <c r="T19">
        <v>11</v>
      </c>
    </row>
    <row r="20" spans="1:20" x14ac:dyDescent="0.3">
      <c r="A20" t="s">
        <v>226</v>
      </c>
      <c r="B20">
        <v>176.017</v>
      </c>
      <c r="C20">
        <v>100</v>
      </c>
      <c r="D20">
        <v>100</v>
      </c>
      <c r="E20">
        <v>0.371</v>
      </c>
      <c r="F20">
        <v>78.311999999999998</v>
      </c>
      <c r="G20">
        <v>3.431</v>
      </c>
      <c r="H20">
        <v>75.400999999999996</v>
      </c>
      <c r="I20">
        <v>44.423999999999999</v>
      </c>
      <c r="J20">
        <v>2.0209999999999999</v>
      </c>
      <c r="K20">
        <v>230.51900000000001</v>
      </c>
      <c r="L20">
        <v>3.05</v>
      </c>
      <c r="M20">
        <v>52.822000000000003</v>
      </c>
      <c r="N20">
        <v>2.952</v>
      </c>
      <c r="O20">
        <v>0.89600000000000002</v>
      </c>
      <c r="P20">
        <v>2.823</v>
      </c>
      <c r="Q20">
        <v>0</v>
      </c>
      <c r="R20">
        <v>29.28</v>
      </c>
      <c r="S20">
        <v>41.5</v>
      </c>
      <c r="T20">
        <v>11</v>
      </c>
    </row>
    <row r="21" spans="1:20" x14ac:dyDescent="0.3">
      <c r="A21" t="s">
        <v>227</v>
      </c>
      <c r="B21">
        <v>176.017</v>
      </c>
      <c r="C21">
        <v>100</v>
      </c>
      <c r="D21">
        <v>100</v>
      </c>
      <c r="E21">
        <v>0.39</v>
      </c>
      <c r="F21">
        <v>78.472999999999999</v>
      </c>
      <c r="G21">
        <v>3.5379999999999998</v>
      </c>
      <c r="H21">
        <v>74.613</v>
      </c>
      <c r="I21">
        <v>44.045999999999999</v>
      </c>
      <c r="J21">
        <v>2.0169999999999999</v>
      </c>
      <c r="K21">
        <v>230.35499999999999</v>
      </c>
      <c r="L21">
        <v>2.9049999999999998</v>
      </c>
      <c r="M21">
        <v>52.863</v>
      </c>
      <c r="N21">
        <v>2.9489999999999998</v>
      </c>
      <c r="O21">
        <v>0.90200000000000002</v>
      </c>
      <c r="P21">
        <v>2.8039999999999998</v>
      </c>
      <c r="Q21">
        <v>0</v>
      </c>
      <c r="R21">
        <v>28.73</v>
      </c>
      <c r="S21">
        <v>41.4</v>
      </c>
      <c r="T21">
        <v>11</v>
      </c>
    </row>
    <row r="22" spans="1:20" x14ac:dyDescent="0.3">
      <c r="A22" t="s">
        <v>228</v>
      </c>
      <c r="B22">
        <v>176.107</v>
      </c>
      <c r="C22">
        <v>100</v>
      </c>
      <c r="D22">
        <v>100</v>
      </c>
      <c r="E22">
        <v>0.38400000000000001</v>
      </c>
      <c r="F22">
        <v>78.703000000000003</v>
      </c>
      <c r="G22">
        <v>3.6909999999999998</v>
      </c>
      <c r="H22">
        <v>74.453000000000003</v>
      </c>
      <c r="I22">
        <v>44.268000000000001</v>
      </c>
      <c r="J22">
        <v>2.0179999999999998</v>
      </c>
      <c r="K22">
        <v>230.50299999999999</v>
      </c>
      <c r="L22">
        <v>2.9159999999999999</v>
      </c>
      <c r="M22">
        <v>52.817999999999998</v>
      </c>
      <c r="N22">
        <v>2.95</v>
      </c>
      <c r="O22">
        <v>0.90600000000000003</v>
      </c>
      <c r="P22">
        <v>2.8180000000000001</v>
      </c>
      <c r="Q22">
        <v>0</v>
      </c>
      <c r="R22">
        <v>28.271999999999998</v>
      </c>
      <c r="S22">
        <v>41.4</v>
      </c>
      <c r="T22">
        <v>11</v>
      </c>
    </row>
    <row r="23" spans="1:20" x14ac:dyDescent="0.3">
      <c r="A23" t="s">
        <v>229</v>
      </c>
      <c r="B23">
        <v>176.01300000000001</v>
      </c>
      <c r="C23">
        <v>100</v>
      </c>
      <c r="D23">
        <v>100</v>
      </c>
      <c r="E23">
        <v>0.36899999999999999</v>
      </c>
      <c r="F23">
        <v>78.715999999999994</v>
      </c>
      <c r="G23">
        <v>3.6949999999999998</v>
      </c>
      <c r="H23">
        <v>74.186000000000007</v>
      </c>
      <c r="I23">
        <v>44.502000000000002</v>
      </c>
      <c r="J23">
        <v>2.0110000000000001</v>
      </c>
      <c r="K23">
        <v>230.125</v>
      </c>
      <c r="L23">
        <v>2.9060000000000001</v>
      </c>
      <c r="M23">
        <v>52.79</v>
      </c>
      <c r="N23">
        <v>2.9449999999999998</v>
      </c>
      <c r="O23">
        <v>0.89200000000000002</v>
      </c>
      <c r="P23">
        <v>2.8050000000000002</v>
      </c>
      <c r="Q23">
        <v>0</v>
      </c>
      <c r="R23">
        <v>27.991</v>
      </c>
      <c r="S23">
        <v>41.4</v>
      </c>
      <c r="T23">
        <v>11</v>
      </c>
    </row>
    <row r="24" spans="1:20" x14ac:dyDescent="0.3">
      <c r="A24" t="s">
        <v>230</v>
      </c>
      <c r="B24">
        <v>175.87299999999999</v>
      </c>
      <c r="C24">
        <v>100</v>
      </c>
      <c r="D24">
        <v>100</v>
      </c>
      <c r="E24">
        <v>0.39200000000000002</v>
      </c>
      <c r="F24">
        <v>77.924000000000007</v>
      </c>
      <c r="G24">
        <v>3.3719999999999999</v>
      </c>
      <c r="H24">
        <v>74.567999999999998</v>
      </c>
      <c r="I24">
        <v>44.255000000000003</v>
      </c>
      <c r="J24">
        <v>2.0209999999999999</v>
      </c>
      <c r="K24">
        <v>230.50299999999999</v>
      </c>
      <c r="L24">
        <v>2.915</v>
      </c>
      <c r="M24">
        <v>52.765000000000001</v>
      </c>
      <c r="N24">
        <v>2.9529999999999998</v>
      </c>
      <c r="O24">
        <v>0.90200000000000002</v>
      </c>
      <c r="P24">
        <v>2.819</v>
      </c>
      <c r="Q24">
        <v>0</v>
      </c>
      <c r="R24">
        <v>28.215</v>
      </c>
      <c r="S24">
        <v>41.4</v>
      </c>
      <c r="T24">
        <v>11</v>
      </c>
    </row>
    <row r="25" spans="1:20" ht="15" thickBot="1" x14ac:dyDescent="0.35">
      <c r="A25" t="s">
        <v>231</v>
      </c>
      <c r="B25">
        <v>175.708</v>
      </c>
      <c r="C25">
        <v>100</v>
      </c>
      <c r="D25">
        <v>100</v>
      </c>
      <c r="E25">
        <v>0.39700000000000002</v>
      </c>
      <c r="F25">
        <v>78.650000000000006</v>
      </c>
      <c r="G25">
        <v>3.7450000000000001</v>
      </c>
      <c r="H25">
        <v>74.251000000000005</v>
      </c>
      <c r="I25">
        <v>44.024999999999999</v>
      </c>
      <c r="J25">
        <v>2.016</v>
      </c>
      <c r="K25">
        <v>230.125</v>
      </c>
      <c r="L25">
        <v>2.9049999999999998</v>
      </c>
      <c r="M25">
        <v>52.83</v>
      </c>
      <c r="N25">
        <v>2.952</v>
      </c>
      <c r="O25">
        <v>0.90700000000000003</v>
      </c>
      <c r="P25">
        <v>2.8170000000000002</v>
      </c>
      <c r="Q25">
        <v>0</v>
      </c>
      <c r="R25">
        <v>28.184000000000001</v>
      </c>
      <c r="S25">
        <v>41.4</v>
      </c>
      <c r="T25">
        <v>11</v>
      </c>
    </row>
    <row r="26" spans="1:20" ht="15" thickBot="1" x14ac:dyDescent="0.35">
      <c r="A26" t="s">
        <v>0</v>
      </c>
      <c r="B26" s="1">
        <f t="shared" ref="B26:S26" si="0">AVERAGE(B6:B25)</f>
        <v>176.06869999999998</v>
      </c>
      <c r="C26" s="1">
        <f t="shared" si="0"/>
        <v>100</v>
      </c>
      <c r="D26" s="1">
        <f t="shared" si="0"/>
        <v>100</v>
      </c>
      <c r="E26" s="10">
        <f t="shared" si="0"/>
        <v>0.38290000000000007</v>
      </c>
      <c r="F26" s="1">
        <f t="shared" si="0"/>
        <v>78.424000000000007</v>
      </c>
      <c r="G26" s="1">
        <f t="shared" si="0"/>
        <v>3.6353</v>
      </c>
      <c r="H26" s="10">
        <f t="shared" si="0"/>
        <v>74.745199999999997</v>
      </c>
      <c r="I26" s="1">
        <f t="shared" si="0"/>
        <v>44.171149999999997</v>
      </c>
      <c r="J26" s="8">
        <f t="shared" si="0"/>
        <v>2.0186000000000002</v>
      </c>
      <c r="K26" s="1">
        <f t="shared" si="0"/>
        <v>230.42490000000004</v>
      </c>
      <c r="L26" s="1">
        <f t="shared" si="0"/>
        <v>2.9494999999999996</v>
      </c>
      <c r="M26" s="1">
        <f t="shared" si="0"/>
        <v>52.866599999999991</v>
      </c>
      <c r="N26" s="1">
        <f t="shared" si="0"/>
        <v>2.9496000000000007</v>
      </c>
      <c r="O26" s="1">
        <f t="shared" si="0"/>
        <v>0.89655000000000007</v>
      </c>
      <c r="P26" s="1">
        <f t="shared" si="0"/>
        <v>2.8183499999999997</v>
      </c>
      <c r="Q26" s="1">
        <f t="shared" si="0"/>
        <v>0</v>
      </c>
      <c r="R26" s="1">
        <f t="shared" si="0"/>
        <v>28.437049999999999</v>
      </c>
      <c r="S26" s="1">
        <f t="shared" si="0"/>
        <v>41.51</v>
      </c>
      <c r="T26" s="8">
        <f>AVERAGE(T6:T25)</f>
        <v>11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1.9217999999999997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F720-091F-495E-B7EA-0A52B3B5A471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:U2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0.43782407407407409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60.140535546814846</v>
      </c>
      <c r="M2" s="8">
        <f>(H26*0.001*60)*(K2/100)*(G2/I2)</f>
        <v>1.9573063770903862</v>
      </c>
      <c r="O2" s="9">
        <f>100*((E26*C2)/((E26*C2)+(M2*E2)))</f>
        <v>13.208174844730339</v>
      </c>
      <c r="Q2" s="10">
        <f>100*J26*(1/(((C2/3.6)*E26)+((E2/3.6)*M2)))</f>
        <v>6.3827649861991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232</v>
      </c>
      <c r="B6">
        <v>175.69300000000001</v>
      </c>
      <c r="C6">
        <v>100</v>
      </c>
      <c r="D6">
        <v>100</v>
      </c>
      <c r="E6">
        <v>0.34699999999999998</v>
      </c>
      <c r="F6">
        <v>78.620999999999995</v>
      </c>
      <c r="G6">
        <v>3.9009999999999998</v>
      </c>
      <c r="H6">
        <v>75.763999999999996</v>
      </c>
      <c r="I6">
        <v>44.061999999999998</v>
      </c>
      <c r="J6">
        <v>2.0179999999999998</v>
      </c>
      <c r="K6">
        <v>230.37200000000001</v>
      </c>
      <c r="L6">
        <v>3.0609999999999999</v>
      </c>
      <c r="M6">
        <v>52.923999999999999</v>
      </c>
      <c r="N6">
        <v>2.9489999999999998</v>
      </c>
      <c r="O6">
        <v>0.89100000000000001</v>
      </c>
      <c r="P6">
        <v>2.774</v>
      </c>
      <c r="Q6">
        <v>0</v>
      </c>
      <c r="R6">
        <v>28.312000000000001</v>
      </c>
      <c r="S6">
        <v>43.1</v>
      </c>
      <c r="T6">
        <v>12</v>
      </c>
    </row>
    <row r="7" spans="1:21" x14ac:dyDescent="0.3">
      <c r="A7" t="s">
        <v>233</v>
      </c>
      <c r="B7">
        <v>176.01499999999999</v>
      </c>
      <c r="C7">
        <v>100</v>
      </c>
      <c r="D7">
        <v>100</v>
      </c>
      <c r="E7">
        <v>0.36499999999999999</v>
      </c>
      <c r="F7">
        <v>79.022000000000006</v>
      </c>
      <c r="G7">
        <v>3.81</v>
      </c>
      <c r="H7">
        <v>75.748999999999995</v>
      </c>
      <c r="I7">
        <v>44.12</v>
      </c>
      <c r="J7">
        <v>2.0179999999999998</v>
      </c>
      <c r="K7">
        <v>230.42099999999999</v>
      </c>
      <c r="L7">
        <v>3.0640000000000001</v>
      </c>
      <c r="M7">
        <v>52.942</v>
      </c>
      <c r="N7">
        <v>2.9510000000000001</v>
      </c>
      <c r="O7">
        <v>0.90100000000000002</v>
      </c>
      <c r="P7">
        <v>2.7669999999999999</v>
      </c>
      <c r="Q7">
        <v>0</v>
      </c>
      <c r="R7">
        <v>28.497</v>
      </c>
      <c r="S7">
        <v>43</v>
      </c>
      <c r="T7">
        <v>12</v>
      </c>
    </row>
    <row r="8" spans="1:21" x14ac:dyDescent="0.3">
      <c r="A8" t="s">
        <v>234</v>
      </c>
      <c r="B8">
        <v>175.82300000000001</v>
      </c>
      <c r="C8">
        <v>100</v>
      </c>
      <c r="D8">
        <v>100</v>
      </c>
      <c r="E8">
        <v>0.375</v>
      </c>
      <c r="F8">
        <v>78.641000000000005</v>
      </c>
      <c r="G8">
        <v>3.9089999999999998</v>
      </c>
      <c r="H8">
        <v>76.087999999999994</v>
      </c>
      <c r="I8">
        <v>43.804000000000002</v>
      </c>
      <c r="J8">
        <v>2.0169999999999999</v>
      </c>
      <c r="K8">
        <v>230.10900000000001</v>
      </c>
      <c r="L8">
        <v>2.7280000000000002</v>
      </c>
      <c r="M8">
        <v>52.982999999999997</v>
      </c>
      <c r="N8">
        <v>2.9460000000000002</v>
      </c>
      <c r="O8">
        <v>0.90100000000000002</v>
      </c>
      <c r="P8">
        <v>2.7829999999999999</v>
      </c>
      <c r="Q8">
        <v>0</v>
      </c>
      <c r="R8">
        <v>28.559000000000001</v>
      </c>
      <c r="S8">
        <v>43</v>
      </c>
      <c r="T8">
        <v>12</v>
      </c>
    </row>
    <row r="9" spans="1:21" x14ac:dyDescent="0.3">
      <c r="A9" t="s">
        <v>235</v>
      </c>
      <c r="B9">
        <v>175.637</v>
      </c>
      <c r="C9">
        <v>100</v>
      </c>
      <c r="D9">
        <v>100</v>
      </c>
      <c r="E9">
        <v>0.34399999999999997</v>
      </c>
      <c r="F9">
        <v>78.792000000000002</v>
      </c>
      <c r="G9">
        <v>3.899</v>
      </c>
      <c r="H9">
        <v>75.930000000000007</v>
      </c>
      <c r="I9">
        <v>44.124000000000002</v>
      </c>
      <c r="J9">
        <v>2</v>
      </c>
      <c r="K9">
        <v>230.51900000000001</v>
      </c>
      <c r="L9">
        <v>2.734</v>
      </c>
      <c r="M9">
        <v>52.982999999999997</v>
      </c>
      <c r="N9">
        <v>2.9510000000000001</v>
      </c>
      <c r="O9">
        <v>0.89100000000000001</v>
      </c>
      <c r="P9">
        <v>2.7749999999999999</v>
      </c>
      <c r="Q9">
        <v>0</v>
      </c>
      <c r="R9">
        <v>28.661000000000001</v>
      </c>
      <c r="S9">
        <v>43</v>
      </c>
      <c r="T9">
        <v>12</v>
      </c>
    </row>
    <row r="10" spans="1:21" x14ac:dyDescent="0.3">
      <c r="A10" t="s">
        <v>236</v>
      </c>
      <c r="B10">
        <v>176.08699999999999</v>
      </c>
      <c r="C10">
        <v>100</v>
      </c>
      <c r="D10">
        <v>100</v>
      </c>
      <c r="E10">
        <v>0.35499999999999998</v>
      </c>
      <c r="F10">
        <v>77.665000000000006</v>
      </c>
      <c r="G10">
        <v>3.875</v>
      </c>
      <c r="H10">
        <v>75.866</v>
      </c>
      <c r="I10">
        <v>44.194000000000003</v>
      </c>
      <c r="J10">
        <v>2.0190000000000001</v>
      </c>
      <c r="K10">
        <v>230.35499999999999</v>
      </c>
      <c r="L10">
        <v>3.0659999999999998</v>
      </c>
      <c r="M10">
        <v>52.911999999999999</v>
      </c>
      <c r="N10">
        <v>2.944</v>
      </c>
      <c r="O10">
        <v>0.89400000000000002</v>
      </c>
      <c r="P10">
        <v>2.7749999999999999</v>
      </c>
      <c r="Q10">
        <v>0</v>
      </c>
      <c r="R10">
        <v>28.439</v>
      </c>
      <c r="S10">
        <v>43</v>
      </c>
      <c r="T10">
        <v>12</v>
      </c>
    </row>
    <row r="11" spans="1:21" x14ac:dyDescent="0.3">
      <c r="A11" t="s">
        <v>237</v>
      </c>
      <c r="B11">
        <v>176.12899999999999</v>
      </c>
      <c r="C11">
        <v>100</v>
      </c>
      <c r="D11">
        <v>100</v>
      </c>
      <c r="E11">
        <v>0.33300000000000002</v>
      </c>
      <c r="F11">
        <v>78.971999999999994</v>
      </c>
      <c r="G11">
        <v>3.6819999999999999</v>
      </c>
      <c r="H11">
        <v>75.763000000000005</v>
      </c>
      <c r="I11">
        <v>44.024999999999999</v>
      </c>
      <c r="J11">
        <v>1.677</v>
      </c>
      <c r="K11">
        <v>230.50299999999999</v>
      </c>
      <c r="L11">
        <v>2.6</v>
      </c>
      <c r="M11">
        <v>53.119</v>
      </c>
      <c r="N11">
        <v>2.4239999999999999</v>
      </c>
      <c r="O11">
        <v>0.89100000000000001</v>
      </c>
      <c r="P11">
        <v>2.7989999999999999</v>
      </c>
      <c r="Q11">
        <v>0</v>
      </c>
      <c r="R11">
        <v>28.414000000000001</v>
      </c>
      <c r="S11">
        <v>42.9</v>
      </c>
      <c r="T11">
        <v>12</v>
      </c>
    </row>
    <row r="12" spans="1:21" x14ac:dyDescent="0.3">
      <c r="A12" t="s">
        <v>238</v>
      </c>
      <c r="B12">
        <v>175.88200000000001</v>
      </c>
      <c r="C12">
        <v>100</v>
      </c>
      <c r="D12">
        <v>100</v>
      </c>
      <c r="E12">
        <v>0.34599999999999997</v>
      </c>
      <c r="F12">
        <v>78.715999999999994</v>
      </c>
      <c r="G12">
        <v>3.85</v>
      </c>
      <c r="H12">
        <v>76.259</v>
      </c>
      <c r="I12">
        <v>43.753999999999998</v>
      </c>
      <c r="J12">
        <v>2.0219999999999998</v>
      </c>
      <c r="K12">
        <v>230.50299999999999</v>
      </c>
      <c r="L12">
        <v>3.0640000000000001</v>
      </c>
      <c r="M12">
        <v>53.145000000000003</v>
      </c>
      <c r="N12">
        <v>2.9510000000000001</v>
      </c>
      <c r="O12">
        <v>0.89100000000000001</v>
      </c>
      <c r="P12">
        <v>2.7949999999999999</v>
      </c>
      <c r="Q12">
        <v>0</v>
      </c>
      <c r="R12">
        <v>28.437000000000001</v>
      </c>
      <c r="S12">
        <v>42.9</v>
      </c>
      <c r="T12">
        <v>12</v>
      </c>
    </row>
    <row r="13" spans="1:21" x14ac:dyDescent="0.3">
      <c r="A13" t="s">
        <v>239</v>
      </c>
      <c r="B13">
        <v>175.78399999999999</v>
      </c>
      <c r="C13">
        <v>100</v>
      </c>
      <c r="D13">
        <v>100</v>
      </c>
      <c r="E13">
        <v>0.35</v>
      </c>
      <c r="F13">
        <v>78.503</v>
      </c>
      <c r="G13">
        <v>3.879</v>
      </c>
      <c r="H13">
        <v>76.298000000000002</v>
      </c>
      <c r="I13">
        <v>44.024999999999999</v>
      </c>
      <c r="J13">
        <v>2.0179999999999998</v>
      </c>
      <c r="K13">
        <v>230.51900000000001</v>
      </c>
      <c r="L13">
        <v>3.048</v>
      </c>
      <c r="M13">
        <v>53.015000000000001</v>
      </c>
      <c r="N13">
        <v>2.9670000000000001</v>
      </c>
      <c r="O13">
        <v>0.90600000000000003</v>
      </c>
      <c r="P13">
        <v>2.8</v>
      </c>
      <c r="Q13">
        <v>0</v>
      </c>
      <c r="R13">
        <v>29.004999999999999</v>
      </c>
      <c r="S13">
        <v>42.9</v>
      </c>
      <c r="T13">
        <v>12</v>
      </c>
    </row>
    <row r="14" spans="1:21" x14ac:dyDescent="0.3">
      <c r="A14" t="s">
        <v>240</v>
      </c>
      <c r="B14">
        <v>175.97300000000001</v>
      </c>
      <c r="C14">
        <v>100</v>
      </c>
      <c r="D14">
        <v>100</v>
      </c>
      <c r="E14">
        <v>0.33300000000000002</v>
      </c>
      <c r="F14">
        <v>79.260999999999996</v>
      </c>
      <c r="G14">
        <v>3.7149999999999999</v>
      </c>
      <c r="H14">
        <v>76.283000000000001</v>
      </c>
      <c r="I14">
        <v>44.094999999999999</v>
      </c>
      <c r="J14">
        <v>2.0169999999999999</v>
      </c>
      <c r="K14">
        <v>230.04300000000001</v>
      </c>
      <c r="L14">
        <v>2.7509999999999999</v>
      </c>
      <c r="M14">
        <v>52.978999999999999</v>
      </c>
      <c r="N14">
        <v>2.9470000000000001</v>
      </c>
      <c r="O14">
        <v>0.89500000000000002</v>
      </c>
      <c r="P14">
        <v>2.778</v>
      </c>
      <c r="Q14">
        <v>0</v>
      </c>
      <c r="R14">
        <v>28.827000000000002</v>
      </c>
      <c r="S14">
        <v>42.9</v>
      </c>
      <c r="T14">
        <v>12</v>
      </c>
    </row>
    <row r="15" spans="1:21" x14ac:dyDescent="0.3">
      <c r="A15" t="s">
        <v>241</v>
      </c>
      <c r="B15">
        <v>175.93600000000001</v>
      </c>
      <c r="C15">
        <v>100</v>
      </c>
      <c r="D15">
        <v>100</v>
      </c>
      <c r="E15">
        <v>0.33600000000000002</v>
      </c>
      <c r="F15">
        <v>79.212000000000003</v>
      </c>
      <c r="G15">
        <v>3.8959999999999999</v>
      </c>
      <c r="H15">
        <v>76.563999999999993</v>
      </c>
      <c r="I15">
        <v>43.795000000000002</v>
      </c>
      <c r="J15">
        <v>2.0190000000000001</v>
      </c>
      <c r="K15">
        <v>230.38800000000001</v>
      </c>
      <c r="L15">
        <v>2.7469999999999999</v>
      </c>
      <c r="M15">
        <v>52.954000000000001</v>
      </c>
      <c r="N15">
        <v>2.95</v>
      </c>
      <c r="O15">
        <v>0.875</v>
      </c>
      <c r="P15">
        <v>2.7869999999999999</v>
      </c>
      <c r="Q15">
        <v>0</v>
      </c>
      <c r="R15">
        <v>29.041</v>
      </c>
      <c r="S15">
        <v>42.9</v>
      </c>
      <c r="T15">
        <v>12</v>
      </c>
    </row>
    <row r="16" spans="1:21" x14ac:dyDescent="0.3">
      <c r="A16" t="s">
        <v>242</v>
      </c>
      <c r="B16">
        <v>176.12100000000001</v>
      </c>
      <c r="C16">
        <v>100</v>
      </c>
      <c r="D16">
        <v>100</v>
      </c>
      <c r="E16">
        <v>0.33200000000000002</v>
      </c>
      <c r="F16">
        <v>78.856999999999999</v>
      </c>
      <c r="G16">
        <v>3.87</v>
      </c>
      <c r="H16">
        <v>76.313999999999993</v>
      </c>
      <c r="I16">
        <v>44.017000000000003</v>
      </c>
      <c r="J16">
        <v>2.0190000000000001</v>
      </c>
      <c r="K16">
        <v>230.191</v>
      </c>
      <c r="L16">
        <v>2.7429999999999999</v>
      </c>
      <c r="M16">
        <v>52.944000000000003</v>
      </c>
      <c r="N16">
        <v>2.948</v>
      </c>
      <c r="O16">
        <v>0.89300000000000002</v>
      </c>
      <c r="P16">
        <v>2.7869999999999999</v>
      </c>
      <c r="Q16">
        <v>0</v>
      </c>
      <c r="R16">
        <v>28.971</v>
      </c>
      <c r="S16">
        <v>42.9</v>
      </c>
      <c r="T16">
        <v>12</v>
      </c>
    </row>
    <row r="17" spans="1:20" x14ac:dyDescent="0.3">
      <c r="A17" t="s">
        <v>243</v>
      </c>
      <c r="B17">
        <v>175.768</v>
      </c>
      <c r="C17">
        <v>100</v>
      </c>
      <c r="D17">
        <v>100</v>
      </c>
      <c r="E17">
        <v>0.34499999999999997</v>
      </c>
      <c r="F17">
        <v>78.373999999999995</v>
      </c>
      <c r="G17">
        <v>3.8929999999999998</v>
      </c>
      <c r="H17">
        <v>75.988</v>
      </c>
      <c r="I17">
        <v>44.546999999999997</v>
      </c>
      <c r="J17">
        <v>2.016</v>
      </c>
      <c r="K17">
        <v>230.339</v>
      </c>
      <c r="L17">
        <v>3.0579999999999998</v>
      </c>
      <c r="M17">
        <v>52.914000000000001</v>
      </c>
      <c r="N17">
        <v>2.9540000000000002</v>
      </c>
      <c r="O17">
        <v>0.91600000000000004</v>
      </c>
      <c r="P17">
        <v>2.7810000000000001</v>
      </c>
      <c r="Q17">
        <v>0</v>
      </c>
      <c r="R17">
        <v>28.373999999999999</v>
      </c>
      <c r="S17">
        <v>43</v>
      </c>
      <c r="T17">
        <v>12</v>
      </c>
    </row>
    <row r="18" spans="1:20" x14ac:dyDescent="0.3">
      <c r="A18" t="s">
        <v>244</v>
      </c>
      <c r="B18">
        <v>175.74600000000001</v>
      </c>
      <c r="C18">
        <v>100</v>
      </c>
      <c r="D18">
        <v>100</v>
      </c>
      <c r="E18">
        <v>0.35099999999999998</v>
      </c>
      <c r="F18">
        <v>78.608000000000004</v>
      </c>
      <c r="G18">
        <v>3.8610000000000002</v>
      </c>
      <c r="H18">
        <v>75.734999999999999</v>
      </c>
      <c r="I18">
        <v>44.268000000000001</v>
      </c>
      <c r="J18">
        <v>2.02</v>
      </c>
      <c r="K18">
        <v>230.43700000000001</v>
      </c>
      <c r="L18">
        <v>3.0670000000000002</v>
      </c>
      <c r="M18">
        <v>52.906999999999996</v>
      </c>
      <c r="N18">
        <v>2.948</v>
      </c>
      <c r="O18">
        <v>0.89600000000000002</v>
      </c>
      <c r="P18">
        <v>2.7810000000000001</v>
      </c>
      <c r="Q18">
        <v>0</v>
      </c>
      <c r="R18">
        <v>28.055</v>
      </c>
      <c r="S18">
        <v>42.9</v>
      </c>
      <c r="T18">
        <v>12</v>
      </c>
    </row>
    <row r="19" spans="1:20" x14ac:dyDescent="0.3">
      <c r="A19" t="s">
        <v>245</v>
      </c>
      <c r="B19">
        <v>175.49299999999999</v>
      </c>
      <c r="C19">
        <v>100</v>
      </c>
      <c r="D19">
        <v>100</v>
      </c>
      <c r="E19">
        <v>0.36199999999999999</v>
      </c>
      <c r="F19">
        <v>78.558000000000007</v>
      </c>
      <c r="G19">
        <v>3.97</v>
      </c>
      <c r="H19">
        <v>75.533000000000001</v>
      </c>
      <c r="I19">
        <v>44.000999999999998</v>
      </c>
      <c r="J19">
        <v>2.0169999999999999</v>
      </c>
      <c r="K19">
        <v>230.404</v>
      </c>
      <c r="L19">
        <v>3.0619999999999998</v>
      </c>
      <c r="M19">
        <v>53.043999999999997</v>
      </c>
      <c r="N19">
        <v>2.9550000000000001</v>
      </c>
      <c r="O19">
        <v>0.90100000000000002</v>
      </c>
      <c r="P19">
        <v>2.7909999999999999</v>
      </c>
      <c r="Q19">
        <v>0</v>
      </c>
      <c r="R19">
        <v>28.1</v>
      </c>
      <c r="S19">
        <v>43</v>
      </c>
      <c r="T19">
        <v>12</v>
      </c>
    </row>
    <row r="20" spans="1:20" x14ac:dyDescent="0.3">
      <c r="A20" t="s">
        <v>246</v>
      </c>
      <c r="B20">
        <v>175.77699999999999</v>
      </c>
      <c r="C20">
        <v>100</v>
      </c>
      <c r="D20">
        <v>100</v>
      </c>
      <c r="E20">
        <v>0.36299999999999999</v>
      </c>
      <c r="F20">
        <v>78.509</v>
      </c>
      <c r="G20">
        <v>3.9239999999999999</v>
      </c>
      <c r="H20">
        <v>75.488</v>
      </c>
      <c r="I20">
        <v>43.811999999999998</v>
      </c>
      <c r="J20">
        <v>2.0179999999999998</v>
      </c>
      <c r="K20">
        <v>230.43700000000001</v>
      </c>
      <c r="L20">
        <v>3.0680000000000001</v>
      </c>
      <c r="M20">
        <v>52.956000000000003</v>
      </c>
      <c r="N20">
        <v>2.952</v>
      </c>
      <c r="O20">
        <v>0.91100000000000003</v>
      </c>
      <c r="P20">
        <v>2.7669999999999999</v>
      </c>
      <c r="Q20">
        <v>0</v>
      </c>
      <c r="R20">
        <v>28.050999999999998</v>
      </c>
      <c r="S20">
        <v>43</v>
      </c>
      <c r="T20">
        <v>12</v>
      </c>
    </row>
    <row r="21" spans="1:20" x14ac:dyDescent="0.3">
      <c r="A21" t="s">
        <v>247</v>
      </c>
      <c r="B21">
        <v>175.999</v>
      </c>
      <c r="C21">
        <v>100</v>
      </c>
      <c r="D21">
        <v>100</v>
      </c>
      <c r="E21">
        <v>0.34100000000000003</v>
      </c>
      <c r="F21">
        <v>77.566000000000003</v>
      </c>
      <c r="G21">
        <v>3.5590000000000002</v>
      </c>
      <c r="H21">
        <v>75.563000000000002</v>
      </c>
      <c r="I21">
        <v>43.878</v>
      </c>
      <c r="J21">
        <v>2.0179999999999998</v>
      </c>
      <c r="K21">
        <v>230.339</v>
      </c>
      <c r="L21">
        <v>2.7509999999999999</v>
      </c>
      <c r="M21">
        <v>52.981000000000002</v>
      </c>
      <c r="N21">
        <v>2.9540000000000002</v>
      </c>
      <c r="O21">
        <v>0.88300000000000001</v>
      </c>
      <c r="P21">
        <v>2.8029999999999999</v>
      </c>
      <c r="Q21">
        <v>0</v>
      </c>
      <c r="R21">
        <v>28.155000000000001</v>
      </c>
      <c r="S21">
        <v>43</v>
      </c>
      <c r="T21">
        <v>12</v>
      </c>
    </row>
    <row r="22" spans="1:20" x14ac:dyDescent="0.3">
      <c r="A22" t="s">
        <v>248</v>
      </c>
      <c r="B22">
        <v>175.56800000000001</v>
      </c>
      <c r="C22">
        <v>100</v>
      </c>
      <c r="D22">
        <v>100</v>
      </c>
      <c r="E22">
        <v>0.32400000000000001</v>
      </c>
      <c r="F22">
        <v>79.168999999999997</v>
      </c>
      <c r="G22">
        <v>3.8980000000000001</v>
      </c>
      <c r="H22">
        <v>75.846000000000004</v>
      </c>
      <c r="I22">
        <v>44.05</v>
      </c>
      <c r="J22">
        <v>2.02</v>
      </c>
      <c r="K22">
        <v>230.10900000000001</v>
      </c>
      <c r="L22">
        <v>2.7629999999999999</v>
      </c>
      <c r="M22">
        <v>52.951999999999998</v>
      </c>
      <c r="N22">
        <v>2.9460000000000002</v>
      </c>
      <c r="O22">
        <v>0.89300000000000002</v>
      </c>
      <c r="P22">
        <v>2.7810000000000001</v>
      </c>
      <c r="Q22">
        <v>0</v>
      </c>
      <c r="R22">
        <v>28.292999999999999</v>
      </c>
      <c r="S22">
        <v>43</v>
      </c>
      <c r="T22">
        <v>12</v>
      </c>
    </row>
    <row r="23" spans="1:20" x14ac:dyDescent="0.3">
      <c r="A23" t="s">
        <v>249</v>
      </c>
      <c r="B23">
        <v>175.58600000000001</v>
      </c>
      <c r="C23">
        <v>100</v>
      </c>
      <c r="D23">
        <v>100</v>
      </c>
      <c r="E23">
        <v>0.35799999999999998</v>
      </c>
      <c r="F23">
        <v>78.378</v>
      </c>
      <c r="G23">
        <v>3.9569999999999999</v>
      </c>
      <c r="H23">
        <v>76.052999999999997</v>
      </c>
      <c r="I23">
        <v>44.103000000000002</v>
      </c>
      <c r="J23">
        <v>2.016</v>
      </c>
      <c r="K23">
        <v>230.20699999999999</v>
      </c>
      <c r="L23">
        <v>3.0329999999999999</v>
      </c>
      <c r="M23">
        <v>52.993000000000002</v>
      </c>
      <c r="N23">
        <v>2.9449999999999998</v>
      </c>
      <c r="O23">
        <v>0.91</v>
      </c>
      <c r="P23">
        <v>2.7919999999999998</v>
      </c>
      <c r="Q23">
        <v>0</v>
      </c>
      <c r="R23">
        <v>28.385999999999999</v>
      </c>
      <c r="S23">
        <v>43</v>
      </c>
      <c r="T23">
        <v>12</v>
      </c>
    </row>
    <row r="24" spans="1:20" x14ac:dyDescent="0.3">
      <c r="A24" t="s">
        <v>250</v>
      </c>
      <c r="B24">
        <v>175.87899999999999</v>
      </c>
      <c r="C24">
        <v>100</v>
      </c>
      <c r="D24">
        <v>100</v>
      </c>
      <c r="E24">
        <v>0.35799999999999998</v>
      </c>
      <c r="F24">
        <v>78.400999999999996</v>
      </c>
      <c r="G24">
        <v>3.93</v>
      </c>
      <c r="H24">
        <v>75.796000000000006</v>
      </c>
      <c r="I24">
        <v>43.988</v>
      </c>
      <c r="J24">
        <v>2.0209999999999999</v>
      </c>
      <c r="K24">
        <v>230.43700000000001</v>
      </c>
      <c r="L24">
        <v>3.0379999999999998</v>
      </c>
      <c r="M24">
        <v>53.064</v>
      </c>
      <c r="N24">
        <v>2.952</v>
      </c>
      <c r="O24">
        <v>0.90400000000000003</v>
      </c>
      <c r="P24">
        <v>2.7839999999999998</v>
      </c>
      <c r="Q24">
        <v>0</v>
      </c>
      <c r="R24">
        <v>28.547999999999998</v>
      </c>
      <c r="S24">
        <v>42.9</v>
      </c>
      <c r="T24">
        <v>12</v>
      </c>
    </row>
    <row r="25" spans="1:20" ht="15" thickBot="1" x14ac:dyDescent="0.35">
      <c r="A25" t="s">
        <v>251</v>
      </c>
      <c r="B25">
        <v>175.56299999999999</v>
      </c>
      <c r="C25">
        <v>100</v>
      </c>
      <c r="D25">
        <v>100</v>
      </c>
      <c r="E25">
        <v>0.36199999999999999</v>
      </c>
      <c r="F25">
        <v>78.433999999999997</v>
      </c>
      <c r="G25">
        <v>3.9060000000000001</v>
      </c>
      <c r="H25">
        <v>75.912000000000006</v>
      </c>
      <c r="I25">
        <v>43.652000000000001</v>
      </c>
      <c r="J25">
        <v>2.0179999999999998</v>
      </c>
      <c r="K25">
        <v>230.273</v>
      </c>
      <c r="L25">
        <v>2.7719999999999998</v>
      </c>
      <c r="M25">
        <v>53.061999999999998</v>
      </c>
      <c r="N25">
        <v>2.9460000000000002</v>
      </c>
      <c r="O25">
        <v>0.88400000000000001</v>
      </c>
      <c r="P25">
        <v>2.7770000000000001</v>
      </c>
      <c r="Q25">
        <v>0</v>
      </c>
      <c r="R25">
        <v>28.395</v>
      </c>
      <c r="S25">
        <v>43</v>
      </c>
      <c r="T25">
        <v>12</v>
      </c>
    </row>
    <row r="26" spans="1:20" ht="15" thickBot="1" x14ac:dyDescent="0.35">
      <c r="A26" t="s">
        <v>0</v>
      </c>
      <c r="B26" s="1">
        <f t="shared" ref="B26:S26" si="0">AVERAGE(B6:B25)</f>
        <v>175.82294999999999</v>
      </c>
      <c r="C26" s="1">
        <f t="shared" si="0"/>
        <v>100</v>
      </c>
      <c r="D26" s="1">
        <f t="shared" si="0"/>
        <v>100</v>
      </c>
      <c r="E26" s="10">
        <f t="shared" si="0"/>
        <v>0.34899999999999998</v>
      </c>
      <c r="F26" s="1">
        <f t="shared" si="0"/>
        <v>78.612949999999998</v>
      </c>
      <c r="G26" s="1">
        <f t="shared" si="0"/>
        <v>3.8592</v>
      </c>
      <c r="H26" s="10">
        <f t="shared" si="0"/>
        <v>75.939600000000013</v>
      </c>
      <c r="I26" s="1">
        <f t="shared" si="0"/>
        <v>44.015700000000002</v>
      </c>
      <c r="J26" s="8">
        <f t="shared" si="0"/>
        <v>2.0004</v>
      </c>
      <c r="K26" s="1">
        <f t="shared" si="0"/>
        <v>230.34524999999999</v>
      </c>
      <c r="L26" s="1">
        <f t="shared" si="0"/>
        <v>2.9108999999999994</v>
      </c>
      <c r="M26" s="1">
        <f t="shared" si="0"/>
        <v>52.988649999999993</v>
      </c>
      <c r="N26" s="1">
        <f t="shared" si="0"/>
        <v>2.9239999999999995</v>
      </c>
      <c r="O26" s="1">
        <f t="shared" si="0"/>
        <v>0.8963500000000002</v>
      </c>
      <c r="P26" s="1">
        <f t="shared" si="0"/>
        <v>2.7838500000000002</v>
      </c>
      <c r="Q26" s="1">
        <f t="shared" si="0"/>
        <v>0</v>
      </c>
      <c r="R26" s="1">
        <f t="shared" si="0"/>
        <v>28.475999999999999</v>
      </c>
      <c r="S26" s="1">
        <f t="shared" si="0"/>
        <v>42.964999999999989</v>
      </c>
      <c r="T26" s="8">
        <f>AVERAGE(T6:T25)</f>
        <v>12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1.8875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CAB6-E8D3-4BA9-952E-44B00B0AAA25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37" sqref="I37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0.43864583333333335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60.127371546507021</v>
      </c>
      <c r="M2" s="8">
        <f>(H26*0.001*60)*(K2/100)*(G2/I2)</f>
        <v>2.1237442880325132</v>
      </c>
      <c r="O2" s="9">
        <f>100*((E26*C2)/((E26*C2)+(M2*E2)))</f>
        <v>13.730938976288792</v>
      </c>
      <c r="Q2" s="10">
        <f>100*J26*(1/(((C2/3.6)*E26)+((E2/3.6)*M2)))</f>
        <v>12.192013843401098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252</v>
      </c>
      <c r="B6">
        <v>201.50200000000001</v>
      </c>
      <c r="C6">
        <v>100</v>
      </c>
      <c r="D6">
        <v>100</v>
      </c>
      <c r="E6">
        <v>0.39500000000000002</v>
      </c>
      <c r="F6">
        <v>77.491</v>
      </c>
      <c r="G6">
        <v>4.4870000000000001</v>
      </c>
      <c r="H6">
        <v>82.001999999999995</v>
      </c>
      <c r="I6">
        <v>43.942999999999998</v>
      </c>
      <c r="J6">
        <v>4.1710000000000003</v>
      </c>
      <c r="K6">
        <v>230.273</v>
      </c>
      <c r="L6">
        <v>6.1829999999999998</v>
      </c>
      <c r="M6">
        <v>52.781999999999996</v>
      </c>
      <c r="N6">
        <v>5.9790000000000001</v>
      </c>
      <c r="O6">
        <v>0.90500000000000003</v>
      </c>
      <c r="P6">
        <v>2.6930000000000001</v>
      </c>
      <c r="Q6">
        <v>0</v>
      </c>
      <c r="R6">
        <v>30.420999999999999</v>
      </c>
      <c r="S6">
        <v>47.3</v>
      </c>
      <c r="T6">
        <v>15</v>
      </c>
    </row>
    <row r="7" spans="1:21" x14ac:dyDescent="0.3">
      <c r="A7" t="s">
        <v>253</v>
      </c>
      <c r="B7">
        <v>202.03299999999999</v>
      </c>
      <c r="C7">
        <v>100</v>
      </c>
      <c r="D7">
        <v>100</v>
      </c>
      <c r="E7">
        <v>0.39200000000000002</v>
      </c>
      <c r="F7">
        <v>78.623999999999995</v>
      </c>
      <c r="G7">
        <v>4.532</v>
      </c>
      <c r="H7">
        <v>82.09</v>
      </c>
      <c r="I7">
        <v>44.558999999999997</v>
      </c>
      <c r="J7">
        <v>4.1769999999999996</v>
      </c>
      <c r="K7">
        <v>230.45400000000001</v>
      </c>
      <c r="L7">
        <v>6.1529999999999996</v>
      </c>
      <c r="M7">
        <v>52.893000000000001</v>
      </c>
      <c r="N7">
        <v>5.9820000000000002</v>
      </c>
      <c r="O7">
        <v>0.89100000000000001</v>
      </c>
      <c r="P7">
        <v>2.7090000000000001</v>
      </c>
      <c r="Q7">
        <v>0</v>
      </c>
      <c r="R7">
        <v>30.402000000000001</v>
      </c>
      <c r="S7">
        <v>47.3</v>
      </c>
      <c r="T7">
        <v>15</v>
      </c>
    </row>
    <row r="8" spans="1:21" x14ac:dyDescent="0.3">
      <c r="A8" t="s">
        <v>254</v>
      </c>
      <c r="B8">
        <v>202.267</v>
      </c>
      <c r="C8">
        <v>100</v>
      </c>
      <c r="D8">
        <v>100</v>
      </c>
      <c r="E8">
        <v>0.39800000000000002</v>
      </c>
      <c r="F8">
        <v>79.534000000000006</v>
      </c>
      <c r="G8">
        <v>4.6890000000000001</v>
      </c>
      <c r="H8">
        <v>82.337000000000003</v>
      </c>
      <c r="I8">
        <v>44.222999999999999</v>
      </c>
      <c r="J8">
        <v>4.1669999999999998</v>
      </c>
      <c r="K8">
        <v>230.22399999999999</v>
      </c>
      <c r="L8">
        <v>6.1429999999999998</v>
      </c>
      <c r="M8">
        <v>52.832000000000001</v>
      </c>
      <c r="N8">
        <v>5.9850000000000003</v>
      </c>
      <c r="O8">
        <v>0.91200000000000003</v>
      </c>
      <c r="P8">
        <v>2.6890000000000001</v>
      </c>
      <c r="Q8">
        <v>0</v>
      </c>
      <c r="R8">
        <v>30.643999999999998</v>
      </c>
      <c r="S8">
        <v>47.2</v>
      </c>
      <c r="T8">
        <v>15</v>
      </c>
    </row>
    <row r="9" spans="1:21" x14ac:dyDescent="0.3">
      <c r="A9" t="s">
        <v>255</v>
      </c>
      <c r="B9">
        <v>202.648</v>
      </c>
      <c r="C9">
        <v>100</v>
      </c>
      <c r="D9">
        <v>100</v>
      </c>
      <c r="E9">
        <v>0.38500000000000001</v>
      </c>
      <c r="F9">
        <v>76.760999999999996</v>
      </c>
      <c r="G9">
        <v>4.274</v>
      </c>
      <c r="H9">
        <v>82.463999999999999</v>
      </c>
      <c r="I9">
        <v>45.52</v>
      </c>
      <c r="J9">
        <v>4.1660000000000004</v>
      </c>
      <c r="K9">
        <v>230.20699999999999</v>
      </c>
      <c r="L9">
        <v>5.9370000000000003</v>
      </c>
      <c r="M9">
        <v>52.96</v>
      </c>
      <c r="N9">
        <v>5.9429999999999996</v>
      </c>
      <c r="O9">
        <v>0.90700000000000003</v>
      </c>
      <c r="P9">
        <v>2.7</v>
      </c>
      <c r="Q9">
        <v>0</v>
      </c>
      <c r="R9">
        <v>30.873999999999999</v>
      </c>
      <c r="S9">
        <v>47.2</v>
      </c>
      <c r="T9">
        <v>15</v>
      </c>
    </row>
    <row r="10" spans="1:21" x14ac:dyDescent="0.3">
      <c r="A10" t="s">
        <v>256</v>
      </c>
      <c r="B10">
        <v>202.31899999999999</v>
      </c>
      <c r="C10">
        <v>100</v>
      </c>
      <c r="D10">
        <v>100</v>
      </c>
      <c r="E10">
        <v>0.39300000000000002</v>
      </c>
      <c r="F10">
        <v>78.930000000000007</v>
      </c>
      <c r="G10">
        <v>4.63</v>
      </c>
      <c r="H10">
        <v>82.628</v>
      </c>
      <c r="I10">
        <v>44.37</v>
      </c>
      <c r="J10">
        <v>4.1689999999999996</v>
      </c>
      <c r="K10">
        <v>230.125</v>
      </c>
      <c r="L10">
        <v>6.1769999999999996</v>
      </c>
      <c r="M10">
        <v>52.93</v>
      </c>
      <c r="N10">
        <v>5.9770000000000003</v>
      </c>
      <c r="O10">
        <v>0.9</v>
      </c>
      <c r="P10">
        <v>2.7149999999999999</v>
      </c>
      <c r="Q10">
        <v>0</v>
      </c>
      <c r="R10">
        <v>31.029</v>
      </c>
      <c r="S10">
        <v>47.1</v>
      </c>
      <c r="T10">
        <v>15</v>
      </c>
    </row>
    <row r="11" spans="1:21" x14ac:dyDescent="0.3">
      <c r="A11" t="s">
        <v>257</v>
      </c>
      <c r="B11">
        <v>202.80199999999999</v>
      </c>
      <c r="C11">
        <v>100</v>
      </c>
      <c r="D11">
        <v>100</v>
      </c>
      <c r="E11">
        <v>0.40300000000000002</v>
      </c>
      <c r="F11">
        <v>79.573999999999998</v>
      </c>
      <c r="G11">
        <v>4.3150000000000004</v>
      </c>
      <c r="H11">
        <v>82.78</v>
      </c>
      <c r="I11">
        <v>44.177</v>
      </c>
      <c r="J11">
        <v>4.1760000000000002</v>
      </c>
      <c r="K11">
        <v>230.47</v>
      </c>
      <c r="L11">
        <v>6.18</v>
      </c>
      <c r="M11">
        <v>52.859000000000002</v>
      </c>
      <c r="N11">
        <v>5.9820000000000002</v>
      </c>
      <c r="O11">
        <v>0.91800000000000004</v>
      </c>
      <c r="P11">
        <v>2.7040000000000002</v>
      </c>
      <c r="Q11">
        <v>0</v>
      </c>
      <c r="R11">
        <v>31.652999999999999</v>
      </c>
      <c r="S11">
        <v>47.1</v>
      </c>
      <c r="T11">
        <v>15</v>
      </c>
    </row>
    <row r="12" spans="1:21" x14ac:dyDescent="0.3">
      <c r="A12" t="s">
        <v>258</v>
      </c>
      <c r="B12">
        <v>202.94200000000001</v>
      </c>
      <c r="C12">
        <v>100</v>
      </c>
      <c r="D12">
        <v>100</v>
      </c>
      <c r="E12">
        <v>0.372</v>
      </c>
      <c r="F12">
        <v>78.22</v>
      </c>
      <c r="G12">
        <v>4.4820000000000002</v>
      </c>
      <c r="H12">
        <v>82.307000000000002</v>
      </c>
      <c r="I12">
        <v>43.96</v>
      </c>
      <c r="J12">
        <v>4.1639999999999997</v>
      </c>
      <c r="K12">
        <v>230.17400000000001</v>
      </c>
      <c r="L12">
        <v>6.1449999999999996</v>
      </c>
      <c r="M12">
        <v>52.692</v>
      </c>
      <c r="N12">
        <v>5.9790000000000001</v>
      </c>
      <c r="O12">
        <v>0.91100000000000003</v>
      </c>
      <c r="P12">
        <v>2.7189999999999999</v>
      </c>
      <c r="Q12">
        <v>0</v>
      </c>
      <c r="R12">
        <v>31.163</v>
      </c>
      <c r="S12">
        <v>46.7</v>
      </c>
      <c r="T12">
        <v>15</v>
      </c>
    </row>
    <row r="13" spans="1:21" x14ac:dyDescent="0.3">
      <c r="A13" t="s">
        <v>259</v>
      </c>
      <c r="B13">
        <v>202.65</v>
      </c>
      <c r="C13">
        <v>100</v>
      </c>
      <c r="D13">
        <v>100</v>
      </c>
      <c r="E13">
        <v>0.40500000000000003</v>
      </c>
      <c r="F13">
        <v>78.856999999999999</v>
      </c>
      <c r="G13">
        <v>4.1230000000000002</v>
      </c>
      <c r="H13">
        <v>82.132999999999996</v>
      </c>
      <c r="I13">
        <v>43.893999999999998</v>
      </c>
      <c r="J13">
        <v>4.173</v>
      </c>
      <c r="K13">
        <v>230.51900000000001</v>
      </c>
      <c r="L13">
        <v>6.12</v>
      </c>
      <c r="M13">
        <v>52.856999999999999</v>
      </c>
      <c r="N13">
        <v>5.9870000000000001</v>
      </c>
      <c r="O13">
        <v>0.89400000000000002</v>
      </c>
      <c r="P13">
        <v>2.7210000000000001</v>
      </c>
      <c r="Q13">
        <v>0</v>
      </c>
      <c r="R13">
        <v>30.812999999999999</v>
      </c>
      <c r="S13">
        <v>46.9</v>
      </c>
      <c r="T13">
        <v>15</v>
      </c>
    </row>
    <row r="14" spans="1:21" x14ac:dyDescent="0.3">
      <c r="A14" t="s">
        <v>260</v>
      </c>
      <c r="B14">
        <v>202.30500000000001</v>
      </c>
      <c r="C14">
        <v>100</v>
      </c>
      <c r="D14">
        <v>100</v>
      </c>
      <c r="E14">
        <v>0.42699999999999999</v>
      </c>
      <c r="F14">
        <v>79.477999999999994</v>
      </c>
      <c r="G14">
        <v>4.4740000000000002</v>
      </c>
      <c r="H14">
        <v>82.042000000000002</v>
      </c>
      <c r="I14">
        <v>44.247</v>
      </c>
      <c r="J14">
        <v>4.1689999999999996</v>
      </c>
      <c r="K14">
        <v>230.273</v>
      </c>
      <c r="L14">
        <v>6.0309999999999997</v>
      </c>
      <c r="M14">
        <v>52.704999999999998</v>
      </c>
      <c r="N14">
        <v>5.9770000000000003</v>
      </c>
      <c r="O14">
        <v>0.89900000000000002</v>
      </c>
      <c r="P14">
        <v>2.71</v>
      </c>
      <c r="Q14">
        <v>0</v>
      </c>
      <c r="R14">
        <v>30.695</v>
      </c>
      <c r="S14">
        <v>46.9</v>
      </c>
      <c r="T14">
        <v>15</v>
      </c>
    </row>
    <row r="15" spans="1:21" x14ac:dyDescent="0.3">
      <c r="A15" t="s">
        <v>261</v>
      </c>
      <c r="B15">
        <v>202.584</v>
      </c>
      <c r="C15">
        <v>100</v>
      </c>
      <c r="D15">
        <v>100</v>
      </c>
      <c r="E15">
        <v>0.39500000000000002</v>
      </c>
      <c r="F15">
        <v>78.209999999999994</v>
      </c>
      <c r="G15">
        <v>4.3079999999999998</v>
      </c>
      <c r="H15">
        <v>81.903999999999996</v>
      </c>
      <c r="I15">
        <v>44.35</v>
      </c>
      <c r="J15">
        <v>4.1740000000000004</v>
      </c>
      <c r="K15">
        <v>230.37200000000001</v>
      </c>
      <c r="L15">
        <v>6.0679999999999996</v>
      </c>
      <c r="M15">
        <v>52.835999999999999</v>
      </c>
      <c r="N15">
        <v>5.9779999999999998</v>
      </c>
      <c r="O15">
        <v>0.91400000000000003</v>
      </c>
      <c r="P15">
        <v>2.7040000000000002</v>
      </c>
      <c r="Q15">
        <v>0</v>
      </c>
      <c r="R15">
        <v>30.661999999999999</v>
      </c>
      <c r="S15">
        <v>46.8</v>
      </c>
      <c r="T15">
        <v>15</v>
      </c>
    </row>
    <row r="16" spans="1:21" x14ac:dyDescent="0.3">
      <c r="A16" t="s">
        <v>262</v>
      </c>
      <c r="B16">
        <v>202.86600000000001</v>
      </c>
      <c r="C16">
        <v>100</v>
      </c>
      <c r="D16">
        <v>100</v>
      </c>
      <c r="E16">
        <v>0.38500000000000001</v>
      </c>
      <c r="F16">
        <v>79.165999999999997</v>
      </c>
      <c r="G16">
        <v>4.1059999999999999</v>
      </c>
      <c r="H16">
        <v>81.900999999999996</v>
      </c>
      <c r="I16">
        <v>44.231000000000002</v>
      </c>
      <c r="J16">
        <v>4.1689999999999996</v>
      </c>
      <c r="K16">
        <v>230.28899999999999</v>
      </c>
      <c r="L16">
        <v>6.0540000000000003</v>
      </c>
      <c r="M16">
        <v>52.81</v>
      </c>
      <c r="N16">
        <v>5.9829999999999997</v>
      </c>
      <c r="O16">
        <v>0.91100000000000003</v>
      </c>
      <c r="P16">
        <v>2.7210000000000001</v>
      </c>
      <c r="Q16">
        <v>0</v>
      </c>
      <c r="R16">
        <v>30.779</v>
      </c>
      <c r="S16">
        <v>46.8</v>
      </c>
      <c r="T16">
        <v>15</v>
      </c>
    </row>
    <row r="17" spans="1:20" x14ac:dyDescent="0.3">
      <c r="A17" t="s">
        <v>263</v>
      </c>
      <c r="B17">
        <v>202.75800000000001</v>
      </c>
      <c r="C17">
        <v>100</v>
      </c>
      <c r="D17">
        <v>100</v>
      </c>
      <c r="E17">
        <v>0.39700000000000002</v>
      </c>
      <c r="F17">
        <v>78.772000000000006</v>
      </c>
      <c r="G17">
        <v>4.6479999999999997</v>
      </c>
      <c r="H17">
        <v>82.328999999999994</v>
      </c>
      <c r="I17">
        <v>44.247</v>
      </c>
      <c r="J17">
        <v>4.1769999999999996</v>
      </c>
      <c r="K17">
        <v>230.50299999999999</v>
      </c>
      <c r="L17">
        <v>6.0629999999999997</v>
      </c>
      <c r="M17">
        <v>52.932000000000002</v>
      </c>
      <c r="N17">
        <v>5.9820000000000002</v>
      </c>
      <c r="O17">
        <v>0.91200000000000003</v>
      </c>
      <c r="P17">
        <v>2.7149999999999999</v>
      </c>
      <c r="Q17">
        <v>0</v>
      </c>
      <c r="R17">
        <v>31.016999999999999</v>
      </c>
      <c r="S17">
        <v>46.8</v>
      </c>
      <c r="T17">
        <v>15</v>
      </c>
    </row>
    <row r="18" spans="1:20" x14ac:dyDescent="0.3">
      <c r="A18" t="s">
        <v>264</v>
      </c>
      <c r="B18">
        <v>202.679</v>
      </c>
      <c r="C18">
        <v>100</v>
      </c>
      <c r="D18">
        <v>100</v>
      </c>
      <c r="E18">
        <v>0.38200000000000001</v>
      </c>
      <c r="F18">
        <v>78.91</v>
      </c>
      <c r="G18">
        <v>4.6970000000000001</v>
      </c>
      <c r="H18">
        <v>82.555000000000007</v>
      </c>
      <c r="I18">
        <v>44.045999999999999</v>
      </c>
      <c r="J18">
        <v>4.1669999999999998</v>
      </c>
      <c r="K18">
        <v>230.273</v>
      </c>
      <c r="L18">
        <v>6.0549999999999997</v>
      </c>
      <c r="M18">
        <v>52.865000000000002</v>
      </c>
      <c r="N18">
        <v>5.9829999999999997</v>
      </c>
      <c r="O18">
        <v>0.91700000000000004</v>
      </c>
      <c r="P18">
        <v>2.7130000000000001</v>
      </c>
      <c r="Q18">
        <v>0</v>
      </c>
      <c r="R18">
        <v>31.242000000000001</v>
      </c>
      <c r="S18">
        <v>46.7</v>
      </c>
      <c r="T18">
        <v>15</v>
      </c>
    </row>
    <row r="19" spans="1:20" x14ac:dyDescent="0.3">
      <c r="A19" t="s">
        <v>265</v>
      </c>
      <c r="B19">
        <v>203.03200000000001</v>
      </c>
      <c r="C19">
        <v>100</v>
      </c>
      <c r="D19">
        <v>100</v>
      </c>
      <c r="E19">
        <v>0.39700000000000002</v>
      </c>
      <c r="F19">
        <v>78.411000000000001</v>
      </c>
      <c r="G19">
        <v>4.3490000000000002</v>
      </c>
      <c r="H19">
        <v>82.754000000000005</v>
      </c>
      <c r="I19">
        <v>44.116</v>
      </c>
      <c r="J19">
        <v>4.1749999999999998</v>
      </c>
      <c r="K19">
        <v>230.51900000000001</v>
      </c>
      <c r="L19">
        <v>6.0650000000000004</v>
      </c>
      <c r="M19">
        <v>52.838000000000001</v>
      </c>
      <c r="N19">
        <v>5.9749999999999996</v>
      </c>
      <c r="O19">
        <v>0.90700000000000003</v>
      </c>
      <c r="P19">
        <v>2.7040000000000002</v>
      </c>
      <c r="Q19">
        <v>0</v>
      </c>
      <c r="R19">
        <v>31.507999999999999</v>
      </c>
      <c r="S19">
        <v>46.8</v>
      </c>
      <c r="T19">
        <v>15</v>
      </c>
    </row>
    <row r="20" spans="1:20" x14ac:dyDescent="0.3">
      <c r="A20" t="s">
        <v>266</v>
      </c>
      <c r="B20">
        <v>203.00399999999999</v>
      </c>
      <c r="C20">
        <v>100</v>
      </c>
      <c r="D20">
        <v>100</v>
      </c>
      <c r="E20">
        <v>0.39400000000000002</v>
      </c>
      <c r="F20">
        <v>79.126999999999995</v>
      </c>
      <c r="G20">
        <v>4.5940000000000003</v>
      </c>
      <c r="H20">
        <v>82.619</v>
      </c>
      <c r="I20">
        <v>43.968000000000004</v>
      </c>
      <c r="J20">
        <v>4.1680000000000001</v>
      </c>
      <c r="K20">
        <v>230.25700000000001</v>
      </c>
      <c r="L20">
        <v>6.0519999999999996</v>
      </c>
      <c r="M20">
        <v>52.81</v>
      </c>
      <c r="N20">
        <v>5.9809999999999999</v>
      </c>
      <c r="O20">
        <v>0.91500000000000004</v>
      </c>
      <c r="P20">
        <v>2.7040000000000002</v>
      </c>
      <c r="Q20">
        <v>0</v>
      </c>
      <c r="R20">
        <v>31.402999999999999</v>
      </c>
      <c r="S20">
        <v>46.7</v>
      </c>
      <c r="T20">
        <v>15</v>
      </c>
    </row>
    <row r="21" spans="1:20" x14ac:dyDescent="0.3">
      <c r="A21" t="s">
        <v>267</v>
      </c>
      <c r="B21">
        <v>203.434</v>
      </c>
      <c r="C21">
        <v>100</v>
      </c>
      <c r="D21">
        <v>100</v>
      </c>
      <c r="E21">
        <v>0.38600000000000001</v>
      </c>
      <c r="F21">
        <v>78.728999999999999</v>
      </c>
      <c r="G21">
        <v>4.7350000000000003</v>
      </c>
      <c r="H21">
        <v>82.325000000000003</v>
      </c>
      <c r="I21">
        <v>44.03</v>
      </c>
      <c r="J21">
        <v>4.1749999999999998</v>
      </c>
      <c r="K21">
        <v>230.56899999999999</v>
      </c>
      <c r="L21">
        <v>6.06</v>
      </c>
      <c r="M21">
        <v>52.731000000000002</v>
      </c>
      <c r="N21">
        <v>5.9779999999999998</v>
      </c>
      <c r="O21">
        <v>0.92500000000000004</v>
      </c>
      <c r="P21">
        <v>2.7109999999999999</v>
      </c>
      <c r="Q21">
        <v>0</v>
      </c>
      <c r="R21">
        <v>31.367000000000001</v>
      </c>
      <c r="S21">
        <v>46.8</v>
      </c>
      <c r="T21">
        <v>15</v>
      </c>
    </row>
    <row r="22" spans="1:20" x14ac:dyDescent="0.3">
      <c r="A22" t="s">
        <v>268</v>
      </c>
      <c r="B22">
        <v>203.11199999999999</v>
      </c>
      <c r="C22">
        <v>100</v>
      </c>
      <c r="D22">
        <v>100</v>
      </c>
      <c r="E22">
        <v>0.42199999999999999</v>
      </c>
      <c r="F22">
        <v>79.382999999999996</v>
      </c>
      <c r="G22">
        <v>4.7859999999999996</v>
      </c>
      <c r="H22">
        <v>82.748000000000005</v>
      </c>
      <c r="I22">
        <v>44.194000000000003</v>
      </c>
      <c r="J22">
        <v>4.1680000000000001</v>
      </c>
      <c r="K22">
        <v>230.125</v>
      </c>
      <c r="L22">
        <v>6.0430000000000001</v>
      </c>
      <c r="M22">
        <v>52.828000000000003</v>
      </c>
      <c r="N22">
        <v>5.9809999999999999</v>
      </c>
      <c r="O22">
        <v>0.90700000000000003</v>
      </c>
      <c r="P22">
        <v>2.7240000000000002</v>
      </c>
      <c r="Q22">
        <v>0</v>
      </c>
      <c r="R22">
        <v>31.399000000000001</v>
      </c>
      <c r="S22">
        <v>46.8</v>
      </c>
      <c r="T22">
        <v>15</v>
      </c>
    </row>
    <row r="23" spans="1:20" x14ac:dyDescent="0.3">
      <c r="A23" t="s">
        <v>269</v>
      </c>
      <c r="B23">
        <v>203.09899999999999</v>
      </c>
      <c r="C23">
        <v>100</v>
      </c>
      <c r="D23">
        <v>100</v>
      </c>
      <c r="E23">
        <v>0.41299999999999998</v>
      </c>
      <c r="F23">
        <v>79.382999999999996</v>
      </c>
      <c r="G23">
        <v>4.4459999999999997</v>
      </c>
      <c r="H23">
        <v>83.048000000000002</v>
      </c>
      <c r="I23">
        <v>44.374000000000002</v>
      </c>
      <c r="J23">
        <v>4.1740000000000004</v>
      </c>
      <c r="K23">
        <v>230.56899999999999</v>
      </c>
      <c r="L23">
        <v>6.0609999999999999</v>
      </c>
      <c r="M23">
        <v>52.694000000000003</v>
      </c>
      <c r="N23">
        <v>5.98</v>
      </c>
      <c r="O23">
        <v>0.89100000000000001</v>
      </c>
      <c r="P23">
        <v>2.7090000000000001</v>
      </c>
      <c r="Q23">
        <v>0</v>
      </c>
      <c r="R23">
        <v>31.669</v>
      </c>
      <c r="S23">
        <v>46.8</v>
      </c>
      <c r="T23">
        <v>15</v>
      </c>
    </row>
    <row r="24" spans="1:20" x14ac:dyDescent="0.3">
      <c r="A24" t="s">
        <v>270</v>
      </c>
      <c r="B24">
        <v>203.08600000000001</v>
      </c>
      <c r="C24">
        <v>100</v>
      </c>
      <c r="D24">
        <v>100</v>
      </c>
      <c r="E24">
        <v>0.38200000000000001</v>
      </c>
      <c r="F24">
        <v>79.33</v>
      </c>
      <c r="G24">
        <v>4.5739999999999998</v>
      </c>
      <c r="H24">
        <v>82.647999999999996</v>
      </c>
      <c r="I24">
        <v>44.518000000000001</v>
      </c>
      <c r="J24">
        <v>4.1689999999999996</v>
      </c>
      <c r="K24">
        <v>230.17400000000001</v>
      </c>
      <c r="L24">
        <v>6.0529999999999999</v>
      </c>
      <c r="M24">
        <v>52.793999999999997</v>
      </c>
      <c r="N24">
        <v>5.9779999999999998</v>
      </c>
      <c r="O24">
        <v>0.89700000000000002</v>
      </c>
      <c r="P24">
        <v>2.706</v>
      </c>
      <c r="Q24">
        <v>0</v>
      </c>
      <c r="R24">
        <v>31.742999999999999</v>
      </c>
      <c r="S24">
        <v>46.6</v>
      </c>
      <c r="T24">
        <v>15</v>
      </c>
    </row>
    <row r="25" spans="1:20" ht="15" thickBot="1" x14ac:dyDescent="0.35">
      <c r="A25" t="s">
        <v>271</v>
      </c>
      <c r="B25">
        <v>203.38300000000001</v>
      </c>
      <c r="C25">
        <v>100</v>
      </c>
      <c r="D25">
        <v>100</v>
      </c>
      <c r="E25">
        <v>0.39800000000000002</v>
      </c>
      <c r="F25">
        <v>79.498000000000005</v>
      </c>
      <c r="G25">
        <v>4.9089999999999998</v>
      </c>
      <c r="H25">
        <v>82.688000000000002</v>
      </c>
      <c r="I25">
        <v>44.476999999999997</v>
      </c>
      <c r="J25">
        <v>4.1740000000000004</v>
      </c>
      <c r="K25">
        <v>230.45400000000001</v>
      </c>
      <c r="L25">
        <v>6.0579999999999998</v>
      </c>
      <c r="M25">
        <v>52.927999999999997</v>
      </c>
      <c r="N25">
        <v>5.9809999999999999</v>
      </c>
      <c r="O25">
        <v>0.91700000000000004</v>
      </c>
      <c r="P25">
        <v>2.7130000000000001</v>
      </c>
      <c r="Q25">
        <v>0</v>
      </c>
      <c r="R25">
        <v>31.405999999999999</v>
      </c>
      <c r="S25">
        <v>46.5</v>
      </c>
      <c r="T25">
        <v>15</v>
      </c>
    </row>
    <row r="26" spans="1:20" ht="15" thickBot="1" x14ac:dyDescent="0.35">
      <c r="A26" t="s">
        <v>0</v>
      </c>
      <c r="B26" s="1">
        <f t="shared" ref="B26:S26" si="0">AVERAGE(B6:B25)</f>
        <v>202.72525000000002</v>
      </c>
      <c r="C26" s="1">
        <f t="shared" si="0"/>
        <v>100</v>
      </c>
      <c r="D26" s="1">
        <f t="shared" si="0"/>
        <v>100</v>
      </c>
      <c r="E26" s="10">
        <f t="shared" si="0"/>
        <v>0.39604999999999996</v>
      </c>
      <c r="F26" s="1">
        <f t="shared" si="0"/>
        <v>78.819400000000002</v>
      </c>
      <c r="G26" s="1">
        <f t="shared" si="0"/>
        <v>4.5079000000000002</v>
      </c>
      <c r="H26" s="10">
        <f t="shared" si="0"/>
        <v>82.415099999999995</v>
      </c>
      <c r="I26" s="1">
        <f t="shared" si="0"/>
        <v>44.272199999999998</v>
      </c>
      <c r="J26" s="8">
        <f t="shared" si="0"/>
        <v>4.1711000000000009</v>
      </c>
      <c r="K26" s="1">
        <f t="shared" si="0"/>
        <v>230.34115000000003</v>
      </c>
      <c r="L26" s="1">
        <f t="shared" si="0"/>
        <v>6.0850499999999998</v>
      </c>
      <c r="M26" s="1">
        <f t="shared" si="0"/>
        <v>52.828799999999987</v>
      </c>
      <c r="N26" s="1">
        <f t="shared" si="0"/>
        <v>5.9785499999999994</v>
      </c>
      <c r="O26" s="1">
        <f t="shared" si="0"/>
        <v>0.90749999999999997</v>
      </c>
      <c r="P26" s="1">
        <f t="shared" si="0"/>
        <v>2.7092000000000001</v>
      </c>
      <c r="Q26" s="1">
        <f t="shared" si="0"/>
        <v>0</v>
      </c>
      <c r="R26" s="1">
        <f t="shared" si="0"/>
        <v>31.094450000000002</v>
      </c>
      <c r="S26" s="1">
        <f t="shared" si="0"/>
        <v>46.889999999999993</v>
      </c>
      <c r="T26" s="8">
        <f>AVERAGE(T6:T25)</f>
        <v>15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1.8017000000000001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3709-27EE-43FF-8452-00064A4F521D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31" sqref="O31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0.43962962962962965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59.912492473817039</v>
      </c>
      <c r="M2" s="8">
        <f>(H26*0.001*60)*(K2/100)*(G2/I2)</f>
        <v>2.3225574125269963</v>
      </c>
      <c r="O2" s="9">
        <f>100*((E26*C2)/((E26*C2)+(M2*E2)))</f>
        <v>13.637139579118585</v>
      </c>
      <c r="Q2" s="10">
        <f>100*J26*(1/(((C2/3.6)*E26)+((E2/3.6)*M2)))</f>
        <v>15.799564087937524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272</v>
      </c>
      <c r="B6">
        <v>230.67</v>
      </c>
      <c r="C6">
        <v>100</v>
      </c>
      <c r="D6">
        <v>100</v>
      </c>
      <c r="E6">
        <v>0.42399999999999999</v>
      </c>
      <c r="F6">
        <v>79.242000000000004</v>
      </c>
      <c r="G6">
        <v>6.11</v>
      </c>
      <c r="H6">
        <v>90.864999999999995</v>
      </c>
      <c r="I6">
        <v>44.621000000000002</v>
      </c>
      <c r="J6">
        <v>5.9130000000000003</v>
      </c>
      <c r="K6">
        <v>230.58500000000001</v>
      </c>
      <c r="L6">
        <v>8.5510000000000002</v>
      </c>
      <c r="M6">
        <v>52.860999999999997</v>
      </c>
      <c r="N6">
        <v>8.4969999999999999</v>
      </c>
      <c r="O6">
        <v>0.93100000000000005</v>
      </c>
      <c r="P6">
        <v>2.61</v>
      </c>
      <c r="Q6">
        <v>0</v>
      </c>
      <c r="R6">
        <v>34.942</v>
      </c>
      <c r="S6">
        <v>51.5</v>
      </c>
      <c r="T6">
        <v>19</v>
      </c>
    </row>
    <row r="7" spans="1:21" x14ac:dyDescent="0.3">
      <c r="A7" t="s">
        <v>273</v>
      </c>
      <c r="B7">
        <v>230.346</v>
      </c>
      <c r="C7">
        <v>100</v>
      </c>
      <c r="D7">
        <v>100</v>
      </c>
      <c r="E7">
        <v>0.435</v>
      </c>
      <c r="F7">
        <v>79.697999999999993</v>
      </c>
      <c r="G7">
        <v>5.5039999999999996</v>
      </c>
      <c r="H7">
        <v>90.393000000000001</v>
      </c>
      <c r="I7">
        <v>44.484999999999999</v>
      </c>
      <c r="J7">
        <v>5.9</v>
      </c>
      <c r="K7">
        <v>230.30600000000001</v>
      </c>
      <c r="L7">
        <v>8.5440000000000005</v>
      </c>
      <c r="M7">
        <v>52.749000000000002</v>
      </c>
      <c r="N7">
        <v>8.4890000000000008</v>
      </c>
      <c r="O7">
        <v>0.90700000000000003</v>
      </c>
      <c r="P7">
        <v>2.6230000000000002</v>
      </c>
      <c r="Q7">
        <v>0</v>
      </c>
      <c r="R7">
        <v>34.61</v>
      </c>
      <c r="S7">
        <v>51.4</v>
      </c>
      <c r="T7">
        <v>19</v>
      </c>
    </row>
    <row r="8" spans="1:21" x14ac:dyDescent="0.3">
      <c r="A8" t="s">
        <v>274</v>
      </c>
      <c r="B8">
        <v>230.24199999999999</v>
      </c>
      <c r="C8">
        <v>100</v>
      </c>
      <c r="D8">
        <v>100</v>
      </c>
      <c r="E8">
        <v>0.41799999999999998</v>
      </c>
      <c r="F8">
        <v>79.498000000000005</v>
      </c>
      <c r="G8">
        <v>5.7320000000000002</v>
      </c>
      <c r="H8">
        <v>90.126000000000005</v>
      </c>
      <c r="I8">
        <v>44.65</v>
      </c>
      <c r="J8">
        <v>5.9109999999999996</v>
      </c>
      <c r="K8">
        <v>230.65100000000001</v>
      </c>
      <c r="L8">
        <v>8.5540000000000003</v>
      </c>
      <c r="M8">
        <v>52.787999999999997</v>
      </c>
      <c r="N8">
        <v>8.4969999999999999</v>
      </c>
      <c r="O8">
        <v>0.90300000000000002</v>
      </c>
      <c r="P8">
        <v>2.6150000000000002</v>
      </c>
      <c r="Q8">
        <v>0</v>
      </c>
      <c r="R8">
        <v>34.262999999999998</v>
      </c>
      <c r="S8">
        <v>51.5</v>
      </c>
      <c r="T8">
        <v>19</v>
      </c>
    </row>
    <row r="9" spans="1:21" x14ac:dyDescent="0.3">
      <c r="A9" t="s">
        <v>275</v>
      </c>
      <c r="B9">
        <v>230.38399999999999</v>
      </c>
      <c r="C9">
        <v>100</v>
      </c>
      <c r="D9">
        <v>100</v>
      </c>
      <c r="E9">
        <v>0.44700000000000001</v>
      </c>
      <c r="F9">
        <v>79.421999999999997</v>
      </c>
      <c r="G9">
        <v>5.8789999999999996</v>
      </c>
      <c r="H9">
        <v>90.474999999999994</v>
      </c>
      <c r="I9">
        <v>44.826000000000001</v>
      </c>
      <c r="J9">
        <v>5.899</v>
      </c>
      <c r="K9">
        <v>230.28899999999999</v>
      </c>
      <c r="L9">
        <v>8.5410000000000004</v>
      </c>
      <c r="M9">
        <v>52.83</v>
      </c>
      <c r="N9">
        <v>8.4949999999999992</v>
      </c>
      <c r="O9">
        <v>0.91700000000000004</v>
      </c>
      <c r="P9">
        <v>2.6110000000000002</v>
      </c>
      <c r="Q9">
        <v>0</v>
      </c>
      <c r="R9">
        <v>34.103999999999999</v>
      </c>
      <c r="S9">
        <v>51.5</v>
      </c>
      <c r="T9">
        <v>19</v>
      </c>
    </row>
    <row r="10" spans="1:21" x14ac:dyDescent="0.3">
      <c r="A10" t="s">
        <v>276</v>
      </c>
      <c r="B10">
        <v>230.94900000000001</v>
      </c>
      <c r="C10">
        <v>100</v>
      </c>
      <c r="D10">
        <v>100</v>
      </c>
      <c r="E10">
        <v>0.45900000000000002</v>
      </c>
      <c r="F10">
        <v>79.957999999999998</v>
      </c>
      <c r="G10">
        <v>6.2089999999999996</v>
      </c>
      <c r="H10">
        <v>90.477000000000004</v>
      </c>
      <c r="I10">
        <v>44.911999999999999</v>
      </c>
      <c r="J10">
        <v>5.9109999999999996</v>
      </c>
      <c r="K10">
        <v>230.71600000000001</v>
      </c>
      <c r="L10">
        <v>8.5579999999999998</v>
      </c>
      <c r="M10">
        <v>52.853000000000002</v>
      </c>
      <c r="N10">
        <v>8.5009999999999994</v>
      </c>
      <c r="O10">
        <v>0.88900000000000001</v>
      </c>
      <c r="P10">
        <v>2.613</v>
      </c>
      <c r="Q10">
        <v>0</v>
      </c>
      <c r="R10">
        <v>34.454000000000001</v>
      </c>
      <c r="S10">
        <v>51.4</v>
      </c>
      <c r="T10">
        <v>19</v>
      </c>
    </row>
    <row r="11" spans="1:21" x14ac:dyDescent="0.3">
      <c r="A11" t="s">
        <v>277</v>
      </c>
      <c r="B11">
        <v>230.99700000000001</v>
      </c>
      <c r="C11">
        <v>100</v>
      </c>
      <c r="D11">
        <v>100</v>
      </c>
      <c r="E11">
        <v>0.41899999999999998</v>
      </c>
      <c r="F11">
        <v>78.722999999999999</v>
      </c>
      <c r="G11">
        <v>6.02</v>
      </c>
      <c r="H11">
        <v>90.542000000000002</v>
      </c>
      <c r="I11">
        <v>44.88</v>
      </c>
      <c r="J11">
        <v>5.9009999999999998</v>
      </c>
      <c r="K11">
        <v>230.35499999999999</v>
      </c>
      <c r="L11">
        <v>8.6850000000000005</v>
      </c>
      <c r="M11">
        <v>52.877000000000002</v>
      </c>
      <c r="N11">
        <v>8.4949999999999992</v>
      </c>
      <c r="O11">
        <v>0.91600000000000004</v>
      </c>
      <c r="P11">
        <v>2.6139999999999999</v>
      </c>
      <c r="Q11">
        <v>0</v>
      </c>
      <c r="R11">
        <v>34.283999999999999</v>
      </c>
      <c r="S11">
        <v>51.5</v>
      </c>
      <c r="T11">
        <v>19</v>
      </c>
    </row>
    <row r="12" spans="1:21" x14ac:dyDescent="0.3">
      <c r="A12" t="s">
        <v>278</v>
      </c>
      <c r="B12">
        <v>230.85499999999999</v>
      </c>
      <c r="C12">
        <v>100</v>
      </c>
      <c r="D12">
        <v>100</v>
      </c>
      <c r="E12">
        <v>0.39</v>
      </c>
      <c r="F12">
        <v>80.290000000000006</v>
      </c>
      <c r="G12">
        <v>6.202</v>
      </c>
      <c r="H12">
        <v>90.352999999999994</v>
      </c>
      <c r="I12">
        <v>44.863</v>
      </c>
      <c r="J12">
        <v>5.91</v>
      </c>
      <c r="K12">
        <v>230.55199999999999</v>
      </c>
      <c r="L12">
        <v>8.4580000000000002</v>
      </c>
      <c r="M12">
        <v>52.698</v>
      </c>
      <c r="N12">
        <v>8.4979999999999993</v>
      </c>
      <c r="O12">
        <v>0.89900000000000002</v>
      </c>
      <c r="P12">
        <v>2.617</v>
      </c>
      <c r="Q12">
        <v>0</v>
      </c>
      <c r="R12">
        <v>34.347999999999999</v>
      </c>
      <c r="S12">
        <v>51.5</v>
      </c>
      <c r="T12">
        <v>19</v>
      </c>
    </row>
    <row r="13" spans="1:21" x14ac:dyDescent="0.3">
      <c r="A13" t="s">
        <v>279</v>
      </c>
      <c r="B13">
        <v>230.101</v>
      </c>
      <c r="C13">
        <v>100</v>
      </c>
      <c r="D13">
        <v>100</v>
      </c>
      <c r="E13">
        <v>0.46100000000000002</v>
      </c>
      <c r="F13">
        <v>79.774000000000001</v>
      </c>
      <c r="G13">
        <v>6.3570000000000002</v>
      </c>
      <c r="H13">
        <v>90.087000000000003</v>
      </c>
      <c r="I13">
        <v>44.744</v>
      </c>
      <c r="J13">
        <v>5.9020000000000001</v>
      </c>
      <c r="K13">
        <v>230.38800000000001</v>
      </c>
      <c r="L13">
        <v>8.4480000000000004</v>
      </c>
      <c r="M13">
        <v>52.847000000000001</v>
      </c>
      <c r="N13">
        <v>8.4909999999999997</v>
      </c>
      <c r="O13">
        <v>0.92100000000000004</v>
      </c>
      <c r="P13">
        <v>2.6040000000000001</v>
      </c>
      <c r="Q13">
        <v>0</v>
      </c>
      <c r="R13">
        <v>34.084000000000003</v>
      </c>
      <c r="S13">
        <v>51.5</v>
      </c>
      <c r="T13">
        <v>19</v>
      </c>
    </row>
    <row r="14" spans="1:21" x14ac:dyDescent="0.3">
      <c r="A14" t="s">
        <v>280</v>
      </c>
      <c r="B14">
        <v>231.18700000000001</v>
      </c>
      <c r="C14">
        <v>100</v>
      </c>
      <c r="D14">
        <v>100</v>
      </c>
      <c r="E14">
        <v>0.44600000000000001</v>
      </c>
      <c r="F14">
        <v>79.412999999999997</v>
      </c>
      <c r="G14">
        <v>6.0529999999999999</v>
      </c>
      <c r="H14">
        <v>89.98</v>
      </c>
      <c r="I14">
        <v>44.387</v>
      </c>
      <c r="J14">
        <v>5.91</v>
      </c>
      <c r="K14">
        <v>230.749</v>
      </c>
      <c r="L14">
        <v>8.6750000000000007</v>
      </c>
      <c r="M14">
        <v>52.755000000000003</v>
      </c>
      <c r="N14">
        <v>8.4949999999999992</v>
      </c>
      <c r="O14">
        <v>0.92600000000000005</v>
      </c>
      <c r="P14">
        <v>2.613</v>
      </c>
      <c r="Q14">
        <v>0</v>
      </c>
      <c r="R14">
        <v>34.052</v>
      </c>
      <c r="S14">
        <v>51.5</v>
      </c>
      <c r="T14">
        <v>19</v>
      </c>
    </row>
    <row r="15" spans="1:21" x14ac:dyDescent="0.3">
      <c r="A15" t="s">
        <v>281</v>
      </c>
      <c r="B15">
        <v>230.702</v>
      </c>
      <c r="C15">
        <v>100</v>
      </c>
      <c r="D15">
        <v>100</v>
      </c>
      <c r="E15">
        <v>0.42699999999999999</v>
      </c>
      <c r="F15">
        <v>79.004999999999995</v>
      </c>
      <c r="G15">
        <v>5.944</v>
      </c>
      <c r="H15">
        <v>90.061000000000007</v>
      </c>
      <c r="I15">
        <v>43.664000000000001</v>
      </c>
      <c r="J15">
        <v>5.8979999999999997</v>
      </c>
      <c r="K15">
        <v>230.38800000000001</v>
      </c>
      <c r="L15">
        <v>8.6669999999999998</v>
      </c>
      <c r="M15">
        <v>52.853000000000002</v>
      </c>
      <c r="N15">
        <v>8.4949999999999992</v>
      </c>
      <c r="O15">
        <v>0.90400000000000003</v>
      </c>
      <c r="P15">
        <v>2.5979999999999999</v>
      </c>
      <c r="Q15">
        <v>0</v>
      </c>
      <c r="R15">
        <v>34.052</v>
      </c>
      <c r="S15">
        <v>51.5</v>
      </c>
      <c r="T15">
        <v>19</v>
      </c>
    </row>
    <row r="16" spans="1:21" x14ac:dyDescent="0.3">
      <c r="A16" t="s">
        <v>282</v>
      </c>
      <c r="B16">
        <v>230.92099999999999</v>
      </c>
      <c r="C16">
        <v>100</v>
      </c>
      <c r="D16">
        <v>100</v>
      </c>
      <c r="E16">
        <v>0.40699999999999997</v>
      </c>
      <c r="F16">
        <v>78.89</v>
      </c>
      <c r="G16">
        <v>5.8570000000000002</v>
      </c>
      <c r="H16">
        <v>90.269000000000005</v>
      </c>
      <c r="I16">
        <v>44.469000000000001</v>
      </c>
      <c r="J16">
        <v>5.9059999999999997</v>
      </c>
      <c r="K16">
        <v>230.55199999999999</v>
      </c>
      <c r="L16">
        <v>8.4600000000000009</v>
      </c>
      <c r="M16">
        <v>52.771000000000001</v>
      </c>
      <c r="N16">
        <v>8.5009999999999994</v>
      </c>
      <c r="O16">
        <v>0.90300000000000002</v>
      </c>
      <c r="P16">
        <v>2.6509999999999998</v>
      </c>
      <c r="Q16">
        <v>0</v>
      </c>
      <c r="R16">
        <v>34.078000000000003</v>
      </c>
      <c r="S16">
        <v>51.5</v>
      </c>
      <c r="T16">
        <v>19</v>
      </c>
    </row>
    <row r="17" spans="1:20" x14ac:dyDescent="0.3">
      <c r="A17" t="s">
        <v>283</v>
      </c>
      <c r="B17">
        <v>231.161</v>
      </c>
      <c r="C17">
        <v>100</v>
      </c>
      <c r="D17">
        <v>100</v>
      </c>
      <c r="E17">
        <v>0.44500000000000001</v>
      </c>
      <c r="F17">
        <v>78.853999999999999</v>
      </c>
      <c r="G17">
        <v>5.867</v>
      </c>
      <c r="H17">
        <v>90.391000000000005</v>
      </c>
      <c r="I17">
        <v>44.735999999999997</v>
      </c>
      <c r="J17">
        <v>5.9009999999999998</v>
      </c>
      <c r="K17">
        <v>230.404</v>
      </c>
      <c r="L17">
        <v>8.5860000000000003</v>
      </c>
      <c r="M17">
        <v>52.911999999999999</v>
      </c>
      <c r="N17">
        <v>8.4930000000000003</v>
      </c>
      <c r="O17">
        <v>0.92900000000000005</v>
      </c>
      <c r="P17">
        <v>2.6120000000000001</v>
      </c>
      <c r="Q17">
        <v>0</v>
      </c>
      <c r="R17">
        <v>34.198999999999998</v>
      </c>
      <c r="S17">
        <v>51.5</v>
      </c>
      <c r="T17">
        <v>19</v>
      </c>
    </row>
    <row r="18" spans="1:20" x14ac:dyDescent="0.3">
      <c r="A18" t="s">
        <v>284</v>
      </c>
      <c r="B18">
        <v>231.59399999999999</v>
      </c>
      <c r="C18">
        <v>100</v>
      </c>
      <c r="D18">
        <v>100</v>
      </c>
      <c r="E18">
        <v>0.441</v>
      </c>
      <c r="F18">
        <v>80.010000000000005</v>
      </c>
      <c r="G18">
        <v>6.0209999999999999</v>
      </c>
      <c r="H18">
        <v>90.727000000000004</v>
      </c>
      <c r="I18">
        <v>44.707000000000001</v>
      </c>
      <c r="J18">
        <v>5.907</v>
      </c>
      <c r="K18">
        <v>230.58500000000001</v>
      </c>
      <c r="L18">
        <v>8.532</v>
      </c>
      <c r="M18">
        <v>52.847000000000001</v>
      </c>
      <c r="N18">
        <v>8.4920000000000009</v>
      </c>
      <c r="O18">
        <v>0.90700000000000003</v>
      </c>
      <c r="P18">
        <v>2.629</v>
      </c>
      <c r="Q18">
        <v>0</v>
      </c>
      <c r="R18">
        <v>34.393999999999998</v>
      </c>
      <c r="S18">
        <v>51.5</v>
      </c>
      <c r="T18">
        <v>19</v>
      </c>
    </row>
    <row r="19" spans="1:20" x14ac:dyDescent="0.3">
      <c r="A19" t="s">
        <v>285</v>
      </c>
      <c r="B19">
        <v>230.976</v>
      </c>
      <c r="C19">
        <v>100</v>
      </c>
      <c r="D19">
        <v>100</v>
      </c>
      <c r="E19">
        <v>0.40699999999999997</v>
      </c>
      <c r="F19">
        <v>79.638999999999996</v>
      </c>
      <c r="G19">
        <v>6.2729999999999997</v>
      </c>
      <c r="H19">
        <v>91.070999999999998</v>
      </c>
      <c r="I19">
        <v>44.625</v>
      </c>
      <c r="J19">
        <v>5.9020000000000001</v>
      </c>
      <c r="K19">
        <v>230.404</v>
      </c>
      <c r="L19">
        <v>8.5470000000000006</v>
      </c>
      <c r="M19">
        <v>52.859000000000002</v>
      </c>
      <c r="N19">
        <v>8.4949999999999992</v>
      </c>
      <c r="O19">
        <v>0.91200000000000003</v>
      </c>
      <c r="P19">
        <v>2.6070000000000002</v>
      </c>
      <c r="Q19">
        <v>0</v>
      </c>
      <c r="R19">
        <v>34.685000000000002</v>
      </c>
      <c r="S19">
        <v>51.4</v>
      </c>
      <c r="T19">
        <v>19</v>
      </c>
    </row>
    <row r="20" spans="1:20" x14ac:dyDescent="0.3">
      <c r="A20" t="s">
        <v>286</v>
      </c>
      <c r="B20">
        <v>230.929</v>
      </c>
      <c r="C20">
        <v>100</v>
      </c>
      <c r="D20">
        <v>100</v>
      </c>
      <c r="E20">
        <v>0.41799999999999998</v>
      </c>
      <c r="F20">
        <v>78.94</v>
      </c>
      <c r="G20">
        <v>6.4420000000000002</v>
      </c>
      <c r="H20">
        <v>91.016999999999996</v>
      </c>
      <c r="I20">
        <v>44.773000000000003</v>
      </c>
      <c r="J20">
        <v>5.9020000000000001</v>
      </c>
      <c r="K20">
        <v>230.45400000000001</v>
      </c>
      <c r="L20">
        <v>8.5459999999999994</v>
      </c>
      <c r="M20">
        <v>52.838000000000001</v>
      </c>
      <c r="N20">
        <v>8.4920000000000009</v>
      </c>
      <c r="O20">
        <v>0.90500000000000003</v>
      </c>
      <c r="P20">
        <v>2.633</v>
      </c>
      <c r="Q20">
        <v>0</v>
      </c>
      <c r="R20">
        <v>35.15</v>
      </c>
      <c r="S20">
        <v>51.4</v>
      </c>
      <c r="T20">
        <v>19</v>
      </c>
    </row>
    <row r="21" spans="1:20" x14ac:dyDescent="0.3">
      <c r="A21" t="s">
        <v>287</v>
      </c>
      <c r="B21">
        <v>231.178</v>
      </c>
      <c r="C21">
        <v>100</v>
      </c>
      <c r="D21">
        <v>100</v>
      </c>
      <c r="E21">
        <v>0.38600000000000001</v>
      </c>
      <c r="F21">
        <v>78.194000000000003</v>
      </c>
      <c r="G21">
        <v>5.8159999999999998</v>
      </c>
      <c r="H21">
        <v>91.135999999999996</v>
      </c>
      <c r="I21">
        <v>44.625</v>
      </c>
      <c r="J21">
        <v>5.907</v>
      </c>
      <c r="K21">
        <v>230.56899999999999</v>
      </c>
      <c r="L21">
        <v>8.5530000000000008</v>
      </c>
      <c r="M21">
        <v>52.781999999999996</v>
      </c>
      <c r="N21">
        <v>8.4849999999999994</v>
      </c>
      <c r="O21">
        <v>0.90700000000000003</v>
      </c>
      <c r="P21">
        <v>2.5870000000000002</v>
      </c>
      <c r="Q21">
        <v>0</v>
      </c>
      <c r="R21">
        <v>35.133000000000003</v>
      </c>
      <c r="S21">
        <v>51.3</v>
      </c>
      <c r="T21">
        <v>19</v>
      </c>
    </row>
    <row r="22" spans="1:20" x14ac:dyDescent="0.3">
      <c r="A22" t="s">
        <v>288</v>
      </c>
      <c r="B22">
        <v>231.041</v>
      </c>
      <c r="C22">
        <v>100</v>
      </c>
      <c r="D22">
        <v>100</v>
      </c>
      <c r="E22">
        <v>0.442</v>
      </c>
      <c r="F22">
        <v>79.265000000000001</v>
      </c>
      <c r="G22">
        <v>5.984</v>
      </c>
      <c r="H22">
        <v>90.739000000000004</v>
      </c>
      <c r="I22">
        <v>44.506</v>
      </c>
      <c r="J22">
        <v>5.9</v>
      </c>
      <c r="K22">
        <v>230.404</v>
      </c>
      <c r="L22">
        <v>8.548</v>
      </c>
      <c r="M22">
        <v>52.720999999999997</v>
      </c>
      <c r="N22">
        <v>8.5</v>
      </c>
      <c r="O22">
        <v>0.92100000000000004</v>
      </c>
      <c r="P22">
        <v>2.617</v>
      </c>
      <c r="Q22">
        <v>0</v>
      </c>
      <c r="R22">
        <v>34.805</v>
      </c>
      <c r="S22">
        <v>51.4</v>
      </c>
      <c r="T22">
        <v>19</v>
      </c>
    </row>
    <row r="23" spans="1:20" x14ac:dyDescent="0.3">
      <c r="A23" t="s">
        <v>289</v>
      </c>
      <c r="B23">
        <v>231.506</v>
      </c>
      <c r="C23">
        <v>100</v>
      </c>
      <c r="D23">
        <v>100</v>
      </c>
      <c r="E23">
        <v>0.46600000000000003</v>
      </c>
      <c r="F23">
        <v>79.599999999999994</v>
      </c>
      <c r="G23">
        <v>6.5750000000000002</v>
      </c>
      <c r="H23">
        <v>90.471999999999994</v>
      </c>
      <c r="I23">
        <v>44.362000000000002</v>
      </c>
      <c r="J23">
        <v>5.91</v>
      </c>
      <c r="K23">
        <v>230.58500000000001</v>
      </c>
      <c r="L23">
        <v>8.5570000000000004</v>
      </c>
      <c r="M23">
        <v>52.741</v>
      </c>
      <c r="N23">
        <v>8.4949999999999992</v>
      </c>
      <c r="O23">
        <v>0.91400000000000003</v>
      </c>
      <c r="P23">
        <v>2.6219999999999999</v>
      </c>
      <c r="Q23">
        <v>0</v>
      </c>
      <c r="R23">
        <v>34.43</v>
      </c>
      <c r="S23">
        <v>51.4</v>
      </c>
      <c r="T23">
        <v>19</v>
      </c>
    </row>
    <row r="24" spans="1:20" x14ac:dyDescent="0.3">
      <c r="A24" t="s">
        <v>290</v>
      </c>
      <c r="B24">
        <v>231.31899999999999</v>
      </c>
      <c r="C24">
        <v>100</v>
      </c>
      <c r="D24">
        <v>100</v>
      </c>
      <c r="E24">
        <v>0.39700000000000002</v>
      </c>
      <c r="F24">
        <v>79.563999999999993</v>
      </c>
      <c r="G24">
        <v>6.407</v>
      </c>
      <c r="H24">
        <v>90.018000000000001</v>
      </c>
      <c r="I24">
        <v>44.271999999999998</v>
      </c>
      <c r="J24">
        <v>5.9050000000000002</v>
      </c>
      <c r="K24">
        <v>230.48599999999999</v>
      </c>
      <c r="L24">
        <v>8.548</v>
      </c>
      <c r="M24">
        <v>52.698</v>
      </c>
      <c r="N24">
        <v>8.4949999999999992</v>
      </c>
      <c r="O24">
        <v>0.94</v>
      </c>
      <c r="P24">
        <v>2.6190000000000002</v>
      </c>
      <c r="Q24">
        <v>0</v>
      </c>
      <c r="R24">
        <v>34.222999999999999</v>
      </c>
      <c r="S24">
        <v>51.3</v>
      </c>
      <c r="T24">
        <v>19</v>
      </c>
    </row>
    <row r="25" spans="1:20" ht="15" thickBot="1" x14ac:dyDescent="0.35">
      <c r="A25" t="s">
        <v>291</v>
      </c>
      <c r="B25">
        <v>230.98699999999999</v>
      </c>
      <c r="C25">
        <v>100</v>
      </c>
      <c r="D25">
        <v>100</v>
      </c>
      <c r="E25">
        <v>0.45900000000000002</v>
      </c>
      <c r="F25">
        <v>78.534999999999997</v>
      </c>
      <c r="G25">
        <v>6.0350000000000001</v>
      </c>
      <c r="H25">
        <v>89.873000000000005</v>
      </c>
      <c r="I25">
        <v>44.399000000000001</v>
      </c>
      <c r="J25">
        <v>5.9029999999999996</v>
      </c>
      <c r="K25">
        <v>230.47</v>
      </c>
      <c r="L25">
        <v>8.5510000000000002</v>
      </c>
      <c r="M25">
        <v>52.753</v>
      </c>
      <c r="N25">
        <v>8.4930000000000003</v>
      </c>
      <c r="O25">
        <v>0.91600000000000004</v>
      </c>
      <c r="P25">
        <v>2.6110000000000002</v>
      </c>
      <c r="Q25">
        <v>0</v>
      </c>
      <c r="R25">
        <v>34.148000000000003</v>
      </c>
      <c r="S25">
        <v>51.4</v>
      </c>
      <c r="T25">
        <v>19</v>
      </c>
    </row>
    <row r="26" spans="1:20" ht="15" thickBot="1" x14ac:dyDescent="0.35">
      <c r="A26" t="s">
        <v>0</v>
      </c>
      <c r="B26" s="1">
        <f t="shared" ref="B26:S26" si="0">AVERAGE(B6:B25)</f>
        <v>230.90225000000004</v>
      </c>
      <c r="C26" s="1">
        <f t="shared" si="0"/>
        <v>100</v>
      </c>
      <c r="D26" s="1">
        <f t="shared" si="0"/>
        <v>100</v>
      </c>
      <c r="E26" s="10">
        <f t="shared" si="0"/>
        <v>0.42969999999999997</v>
      </c>
      <c r="F26" s="1">
        <f t="shared" si="0"/>
        <v>79.325700000000012</v>
      </c>
      <c r="G26" s="1">
        <f t="shared" si="0"/>
        <v>6.0643499999999992</v>
      </c>
      <c r="H26" s="10">
        <f t="shared" si="0"/>
        <v>90.453600000000009</v>
      </c>
      <c r="I26" s="1">
        <f t="shared" si="0"/>
        <v>44.575299999999999</v>
      </c>
      <c r="J26" s="8">
        <f t="shared" si="0"/>
        <v>5.9048999999999996</v>
      </c>
      <c r="K26" s="1">
        <f t="shared" si="0"/>
        <v>230.49459999999999</v>
      </c>
      <c r="L26" s="1">
        <f t="shared" si="0"/>
        <v>8.5554499999999969</v>
      </c>
      <c r="M26" s="1">
        <f t="shared" si="0"/>
        <v>52.801649999999995</v>
      </c>
      <c r="N26" s="1">
        <f t="shared" si="0"/>
        <v>8.4946999999999999</v>
      </c>
      <c r="O26" s="1">
        <f t="shared" si="0"/>
        <v>0.91335000000000011</v>
      </c>
      <c r="P26" s="1">
        <f t="shared" si="0"/>
        <v>2.6153</v>
      </c>
      <c r="Q26" s="1">
        <f t="shared" si="0"/>
        <v>0</v>
      </c>
      <c r="R26" s="1">
        <f t="shared" si="0"/>
        <v>34.421900000000001</v>
      </c>
      <c r="S26" s="1">
        <f t="shared" si="0"/>
        <v>51.444999999999993</v>
      </c>
      <c r="T26" s="8">
        <f>AVERAGE(T6:T25)</f>
        <v>19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1.7019499999999999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EDAD-E7D5-4D2C-AE23-BDD1DA48FCD0}">
  <dimension ref="A1:U28"/>
  <sheetViews>
    <sheetView zoomScale="85" zoomScaleNormal="85" workbookViewId="0">
      <selection activeCell="L39" sqref="L39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0.4407638888888889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59.953164609276591</v>
      </c>
      <c r="M2" s="8">
        <f>(H26*0.001*60)*(K2/100)*(G2/I2)</f>
        <v>2.5162445963366995</v>
      </c>
      <c r="O2" s="9">
        <f>100*((E26*C2)/((E26*C2)+(M2*E2)))</f>
        <v>14.234222823922424</v>
      </c>
      <c r="Q2" s="10">
        <f>100*J26*(1/(((C2/3.6)*E26)+((E2/3.6)*M2)))</f>
        <v>19.428804533128002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292</v>
      </c>
      <c r="B6">
        <v>266.33</v>
      </c>
      <c r="C6">
        <v>100</v>
      </c>
      <c r="D6">
        <v>100</v>
      </c>
      <c r="E6">
        <v>0.46899999999999997</v>
      </c>
      <c r="F6">
        <v>81.067999999999998</v>
      </c>
      <c r="G6">
        <v>8.6989999999999998</v>
      </c>
      <c r="H6">
        <v>98.156000000000006</v>
      </c>
      <c r="I6">
        <v>44.488999999999997</v>
      </c>
      <c r="J6">
        <v>7.92</v>
      </c>
      <c r="K6">
        <v>230.7</v>
      </c>
      <c r="L6">
        <v>11.476000000000001</v>
      </c>
      <c r="M6">
        <v>52.655999999999999</v>
      </c>
      <c r="N6">
        <v>11.397</v>
      </c>
      <c r="O6">
        <v>0.93500000000000005</v>
      </c>
      <c r="P6">
        <v>2.5409999999999999</v>
      </c>
      <c r="Q6">
        <v>0</v>
      </c>
      <c r="R6">
        <v>38.124000000000002</v>
      </c>
      <c r="S6">
        <v>55.9</v>
      </c>
      <c r="T6">
        <v>22.5</v>
      </c>
    </row>
    <row r="7" spans="1:21" x14ac:dyDescent="0.3">
      <c r="A7" t="s">
        <v>293</v>
      </c>
      <c r="B7">
        <v>266.81900000000002</v>
      </c>
      <c r="C7">
        <v>100</v>
      </c>
      <c r="D7">
        <v>100</v>
      </c>
      <c r="E7">
        <v>0.39200000000000002</v>
      </c>
      <c r="F7">
        <v>80.111999999999995</v>
      </c>
      <c r="G7">
        <v>8.4209999999999994</v>
      </c>
      <c r="H7">
        <v>97.745999999999995</v>
      </c>
      <c r="I7">
        <v>44.567</v>
      </c>
      <c r="J7">
        <v>7.9180000000000001</v>
      </c>
      <c r="K7">
        <v>230.63399999999999</v>
      </c>
      <c r="L7">
        <v>11.46</v>
      </c>
      <c r="M7">
        <v>52.701999999999998</v>
      </c>
      <c r="N7">
        <v>11.404</v>
      </c>
      <c r="O7">
        <v>0.92100000000000004</v>
      </c>
      <c r="P7">
        <v>2.5270000000000001</v>
      </c>
      <c r="Q7">
        <v>0</v>
      </c>
      <c r="R7">
        <v>37.088000000000001</v>
      </c>
      <c r="S7">
        <v>55.7</v>
      </c>
      <c r="T7">
        <v>22.5</v>
      </c>
    </row>
    <row r="8" spans="1:21" x14ac:dyDescent="0.3">
      <c r="A8" t="s">
        <v>294</v>
      </c>
      <c r="B8">
        <v>266.75700000000001</v>
      </c>
      <c r="C8">
        <v>100</v>
      </c>
      <c r="D8">
        <v>100</v>
      </c>
      <c r="E8">
        <v>0.55500000000000005</v>
      </c>
      <c r="F8">
        <v>80.622</v>
      </c>
      <c r="G8">
        <v>8.6560000000000006</v>
      </c>
      <c r="H8">
        <v>97.36</v>
      </c>
      <c r="I8">
        <v>44.563000000000002</v>
      </c>
      <c r="J8">
        <v>7.9249999999999998</v>
      </c>
      <c r="K8">
        <v>230.79900000000001</v>
      </c>
      <c r="L8">
        <v>11.465</v>
      </c>
      <c r="M8">
        <v>52.593000000000004</v>
      </c>
      <c r="N8">
        <v>11.407</v>
      </c>
      <c r="O8">
        <v>0.95499999999999996</v>
      </c>
      <c r="P8">
        <v>2.5190000000000001</v>
      </c>
      <c r="Q8">
        <v>0</v>
      </c>
      <c r="R8">
        <v>36.590000000000003</v>
      </c>
      <c r="S8">
        <v>55.9</v>
      </c>
      <c r="T8">
        <v>22.5</v>
      </c>
    </row>
    <row r="9" spans="1:21" x14ac:dyDescent="0.3">
      <c r="A9" t="s">
        <v>295</v>
      </c>
      <c r="B9">
        <v>266.584</v>
      </c>
      <c r="C9">
        <v>100</v>
      </c>
      <c r="D9">
        <v>100</v>
      </c>
      <c r="E9">
        <v>0.60599999999999998</v>
      </c>
      <c r="F9">
        <v>80.52</v>
      </c>
      <c r="G9">
        <v>8.9390000000000001</v>
      </c>
      <c r="H9">
        <v>97.558000000000007</v>
      </c>
      <c r="I9">
        <v>44.584000000000003</v>
      </c>
      <c r="J9">
        <v>7.9240000000000004</v>
      </c>
      <c r="K9">
        <v>230.733</v>
      </c>
      <c r="L9">
        <v>11.465999999999999</v>
      </c>
      <c r="M9">
        <v>52.783999999999999</v>
      </c>
      <c r="N9">
        <v>11.4</v>
      </c>
      <c r="O9">
        <v>0.93400000000000005</v>
      </c>
      <c r="P9">
        <v>2.5219999999999998</v>
      </c>
      <c r="Q9">
        <v>0</v>
      </c>
      <c r="R9">
        <v>36.637</v>
      </c>
      <c r="S9">
        <v>55.9</v>
      </c>
      <c r="T9">
        <v>22.5</v>
      </c>
    </row>
    <row r="10" spans="1:21" x14ac:dyDescent="0.3">
      <c r="A10" t="s">
        <v>296</v>
      </c>
      <c r="B10">
        <v>267.36200000000002</v>
      </c>
      <c r="C10">
        <v>100</v>
      </c>
      <c r="D10">
        <v>100</v>
      </c>
      <c r="E10">
        <v>0.46300000000000002</v>
      </c>
      <c r="F10">
        <v>80.53</v>
      </c>
      <c r="G10">
        <v>8.7330000000000005</v>
      </c>
      <c r="H10">
        <v>97.778999999999996</v>
      </c>
      <c r="I10">
        <v>44.563000000000002</v>
      </c>
      <c r="J10">
        <v>7.92</v>
      </c>
      <c r="K10">
        <v>230.61799999999999</v>
      </c>
      <c r="L10">
        <v>11.459</v>
      </c>
      <c r="M10">
        <v>52.694000000000003</v>
      </c>
      <c r="N10">
        <v>11.401999999999999</v>
      </c>
      <c r="O10">
        <v>0.91200000000000003</v>
      </c>
      <c r="P10">
        <v>2.5209999999999999</v>
      </c>
      <c r="Q10">
        <v>0</v>
      </c>
      <c r="R10">
        <v>37.189</v>
      </c>
      <c r="S10">
        <v>55.9</v>
      </c>
      <c r="T10">
        <v>22.5</v>
      </c>
    </row>
    <row r="11" spans="1:21" x14ac:dyDescent="0.3">
      <c r="A11" t="s">
        <v>297</v>
      </c>
      <c r="B11">
        <v>267.36200000000002</v>
      </c>
      <c r="C11">
        <v>100</v>
      </c>
      <c r="D11">
        <v>100</v>
      </c>
      <c r="E11">
        <v>0.54</v>
      </c>
      <c r="F11">
        <v>79.363</v>
      </c>
      <c r="G11">
        <v>8.5459999999999994</v>
      </c>
      <c r="H11">
        <v>97.673000000000002</v>
      </c>
      <c r="I11">
        <v>44.584000000000003</v>
      </c>
      <c r="J11">
        <v>7.9180000000000001</v>
      </c>
      <c r="K11">
        <v>230.48599999999999</v>
      </c>
      <c r="L11">
        <v>11.454000000000001</v>
      </c>
      <c r="M11">
        <v>52.838000000000001</v>
      </c>
      <c r="N11">
        <v>11.398999999999999</v>
      </c>
      <c r="O11">
        <v>0.92200000000000004</v>
      </c>
      <c r="P11">
        <v>2.5190000000000001</v>
      </c>
      <c r="Q11">
        <v>0</v>
      </c>
      <c r="R11">
        <v>37.362000000000002</v>
      </c>
      <c r="S11">
        <v>55.9</v>
      </c>
      <c r="T11">
        <v>22.5</v>
      </c>
    </row>
    <row r="12" spans="1:21" x14ac:dyDescent="0.3">
      <c r="A12" t="s">
        <v>298</v>
      </c>
      <c r="B12">
        <v>266.84899999999999</v>
      </c>
      <c r="C12">
        <v>100</v>
      </c>
      <c r="D12">
        <v>100</v>
      </c>
      <c r="E12">
        <v>0.437</v>
      </c>
      <c r="F12">
        <v>79.846000000000004</v>
      </c>
      <c r="G12">
        <v>8.9239999999999995</v>
      </c>
      <c r="H12">
        <v>97.784000000000006</v>
      </c>
      <c r="I12">
        <v>44.731999999999999</v>
      </c>
      <c r="J12">
        <v>7.9269999999999996</v>
      </c>
      <c r="K12">
        <v>230.733</v>
      </c>
      <c r="L12">
        <v>11.467000000000001</v>
      </c>
      <c r="M12">
        <v>52.597000000000001</v>
      </c>
      <c r="N12">
        <v>11.393000000000001</v>
      </c>
      <c r="O12">
        <v>0.93</v>
      </c>
      <c r="P12">
        <v>2.5</v>
      </c>
      <c r="Q12">
        <v>0</v>
      </c>
      <c r="R12">
        <v>36.936</v>
      </c>
      <c r="S12">
        <v>56</v>
      </c>
      <c r="T12">
        <v>22.5</v>
      </c>
    </row>
    <row r="13" spans="1:21" x14ac:dyDescent="0.3">
      <c r="A13" t="s">
        <v>299</v>
      </c>
      <c r="B13">
        <v>267.52800000000002</v>
      </c>
      <c r="C13">
        <v>100</v>
      </c>
      <c r="D13">
        <v>100</v>
      </c>
      <c r="E13">
        <v>0.56399999999999995</v>
      </c>
      <c r="F13">
        <v>81.334000000000003</v>
      </c>
      <c r="G13">
        <v>8.8680000000000003</v>
      </c>
      <c r="H13">
        <v>97.698999999999998</v>
      </c>
      <c r="I13">
        <v>44.645000000000003</v>
      </c>
      <c r="J13">
        <v>7.923</v>
      </c>
      <c r="K13">
        <v>230.864</v>
      </c>
      <c r="L13">
        <v>11.476000000000001</v>
      </c>
      <c r="M13">
        <v>52.604999999999997</v>
      </c>
      <c r="N13">
        <v>11.4</v>
      </c>
      <c r="O13">
        <v>0.92600000000000005</v>
      </c>
      <c r="P13">
        <v>2.5009999999999999</v>
      </c>
      <c r="Q13">
        <v>0</v>
      </c>
      <c r="R13">
        <v>36.881999999999998</v>
      </c>
      <c r="S13">
        <v>55.8</v>
      </c>
      <c r="T13">
        <v>22.5</v>
      </c>
    </row>
    <row r="14" spans="1:21" x14ac:dyDescent="0.3">
      <c r="A14" t="s">
        <v>300</v>
      </c>
      <c r="B14">
        <v>266.18400000000003</v>
      </c>
      <c r="C14">
        <v>100</v>
      </c>
      <c r="D14">
        <v>100</v>
      </c>
      <c r="E14">
        <v>0.56399999999999995</v>
      </c>
      <c r="F14">
        <v>80.290000000000006</v>
      </c>
      <c r="G14">
        <v>8.1140000000000008</v>
      </c>
      <c r="H14">
        <v>98.021000000000001</v>
      </c>
      <c r="I14">
        <v>44.691000000000003</v>
      </c>
      <c r="J14">
        <v>7.9180000000000001</v>
      </c>
      <c r="K14">
        <v>230.55199999999999</v>
      </c>
      <c r="L14">
        <v>11.449</v>
      </c>
      <c r="M14">
        <v>52.822000000000003</v>
      </c>
      <c r="N14">
        <v>11.404</v>
      </c>
      <c r="O14">
        <v>0.91400000000000003</v>
      </c>
      <c r="P14">
        <v>2.552</v>
      </c>
      <c r="Q14">
        <v>0</v>
      </c>
      <c r="R14">
        <v>37.308999999999997</v>
      </c>
      <c r="S14">
        <v>56</v>
      </c>
      <c r="T14">
        <v>22.5</v>
      </c>
    </row>
    <row r="15" spans="1:21" x14ac:dyDescent="0.3">
      <c r="A15" t="s">
        <v>301</v>
      </c>
      <c r="B15">
        <v>266.94900000000001</v>
      </c>
      <c r="C15">
        <v>100</v>
      </c>
      <c r="D15">
        <v>100</v>
      </c>
      <c r="E15">
        <v>0.47099999999999997</v>
      </c>
      <c r="F15">
        <v>80.203999999999994</v>
      </c>
      <c r="G15">
        <v>8.5050000000000008</v>
      </c>
      <c r="H15">
        <v>98.061000000000007</v>
      </c>
      <c r="I15">
        <v>44.661999999999999</v>
      </c>
      <c r="J15">
        <v>7.9249999999999998</v>
      </c>
      <c r="K15">
        <v>230.79900000000001</v>
      </c>
      <c r="L15">
        <v>11.468</v>
      </c>
      <c r="M15">
        <v>52.795999999999999</v>
      </c>
      <c r="N15">
        <v>11.398999999999999</v>
      </c>
      <c r="O15">
        <v>0.93700000000000006</v>
      </c>
      <c r="P15">
        <v>2.5270000000000001</v>
      </c>
      <c r="Q15">
        <v>0</v>
      </c>
      <c r="R15">
        <v>37.771000000000001</v>
      </c>
      <c r="S15">
        <v>55.8</v>
      </c>
      <c r="T15">
        <v>22.5</v>
      </c>
    </row>
    <row r="16" spans="1:21" x14ac:dyDescent="0.3">
      <c r="A16" t="s">
        <v>302</v>
      </c>
      <c r="B16">
        <v>267.26100000000002</v>
      </c>
      <c r="C16">
        <v>100</v>
      </c>
      <c r="D16">
        <v>100</v>
      </c>
      <c r="E16">
        <v>0.46500000000000002</v>
      </c>
      <c r="F16">
        <v>79.896000000000001</v>
      </c>
      <c r="G16">
        <v>8.5739999999999998</v>
      </c>
      <c r="H16">
        <v>98.269000000000005</v>
      </c>
      <c r="I16">
        <v>44.747999999999998</v>
      </c>
      <c r="J16">
        <v>7.9240000000000004</v>
      </c>
      <c r="K16">
        <v>230.7</v>
      </c>
      <c r="L16">
        <v>11.47</v>
      </c>
      <c r="M16">
        <v>52.734999999999999</v>
      </c>
      <c r="N16">
        <v>11.4</v>
      </c>
      <c r="O16">
        <v>0.92300000000000004</v>
      </c>
      <c r="P16">
        <v>2.5209999999999999</v>
      </c>
      <c r="Q16">
        <v>0</v>
      </c>
      <c r="R16">
        <v>37.454000000000001</v>
      </c>
      <c r="S16">
        <v>55.8</v>
      </c>
      <c r="T16">
        <v>22.5</v>
      </c>
    </row>
    <row r="17" spans="1:20" x14ac:dyDescent="0.3">
      <c r="A17" t="s">
        <v>303</v>
      </c>
      <c r="B17">
        <v>267.29500000000002</v>
      </c>
      <c r="C17">
        <v>100</v>
      </c>
      <c r="D17">
        <v>100</v>
      </c>
      <c r="E17">
        <v>0.42099999999999999</v>
      </c>
      <c r="F17">
        <v>80.078999999999994</v>
      </c>
      <c r="G17">
        <v>8.85</v>
      </c>
      <c r="H17">
        <v>98.259</v>
      </c>
      <c r="I17">
        <v>44.691000000000003</v>
      </c>
      <c r="J17">
        <v>7.9210000000000003</v>
      </c>
      <c r="K17">
        <v>230.61799999999999</v>
      </c>
      <c r="L17">
        <v>11.467000000000001</v>
      </c>
      <c r="M17">
        <v>52.558</v>
      </c>
      <c r="N17">
        <v>11.398999999999999</v>
      </c>
      <c r="O17">
        <v>0.94899999999999995</v>
      </c>
      <c r="P17">
        <v>2.5550000000000002</v>
      </c>
      <c r="Q17">
        <v>0</v>
      </c>
      <c r="R17">
        <v>37.591999999999999</v>
      </c>
      <c r="S17">
        <v>55.8</v>
      </c>
      <c r="T17">
        <v>22.5</v>
      </c>
    </row>
    <row r="18" spans="1:20" x14ac:dyDescent="0.3">
      <c r="A18" t="s">
        <v>304</v>
      </c>
      <c r="B18">
        <v>266.94299999999998</v>
      </c>
      <c r="C18">
        <v>100</v>
      </c>
      <c r="D18">
        <v>100</v>
      </c>
      <c r="E18">
        <v>0.55100000000000005</v>
      </c>
      <c r="F18">
        <v>79.980999999999995</v>
      </c>
      <c r="G18">
        <v>8.3460000000000001</v>
      </c>
      <c r="H18">
        <v>98.129000000000005</v>
      </c>
      <c r="I18">
        <v>44.723999999999997</v>
      </c>
      <c r="J18">
        <v>7.9189999999999996</v>
      </c>
      <c r="K18">
        <v>230.47</v>
      </c>
      <c r="L18">
        <v>11.452</v>
      </c>
      <c r="M18">
        <v>52.743000000000002</v>
      </c>
      <c r="N18">
        <v>11.396000000000001</v>
      </c>
      <c r="O18">
        <v>0.92400000000000004</v>
      </c>
      <c r="P18">
        <v>2.536</v>
      </c>
      <c r="Q18">
        <v>0</v>
      </c>
      <c r="R18">
        <v>37.578000000000003</v>
      </c>
      <c r="S18">
        <v>56</v>
      </c>
      <c r="T18">
        <v>22.5</v>
      </c>
    </row>
    <row r="19" spans="1:20" x14ac:dyDescent="0.3">
      <c r="A19" t="s">
        <v>305</v>
      </c>
      <c r="B19">
        <v>266.57</v>
      </c>
      <c r="C19">
        <v>100</v>
      </c>
      <c r="D19">
        <v>100</v>
      </c>
      <c r="E19">
        <v>0.45700000000000002</v>
      </c>
      <c r="F19">
        <v>79.988</v>
      </c>
      <c r="G19">
        <v>8.39</v>
      </c>
      <c r="H19">
        <v>98.26</v>
      </c>
      <c r="I19">
        <v>44.715000000000003</v>
      </c>
      <c r="J19">
        <v>7.92</v>
      </c>
      <c r="K19">
        <v>230.601</v>
      </c>
      <c r="L19">
        <v>11.47</v>
      </c>
      <c r="M19">
        <v>52.613</v>
      </c>
      <c r="N19">
        <v>11.397</v>
      </c>
      <c r="O19">
        <v>0.91800000000000004</v>
      </c>
      <c r="P19">
        <v>2.5529999999999999</v>
      </c>
      <c r="Q19">
        <v>0</v>
      </c>
      <c r="R19">
        <v>37.51</v>
      </c>
      <c r="S19">
        <v>55.8</v>
      </c>
      <c r="T19">
        <v>22.5</v>
      </c>
    </row>
    <row r="20" spans="1:20" x14ac:dyDescent="0.3">
      <c r="A20" t="s">
        <v>306</v>
      </c>
      <c r="B20">
        <v>267.37400000000002</v>
      </c>
      <c r="C20">
        <v>100</v>
      </c>
      <c r="D20">
        <v>100</v>
      </c>
      <c r="E20">
        <v>0.42899999999999999</v>
      </c>
      <c r="F20">
        <v>80.447000000000003</v>
      </c>
      <c r="G20">
        <v>8.6859999999999999</v>
      </c>
      <c r="H20">
        <v>98.772000000000006</v>
      </c>
      <c r="I20">
        <v>44.784999999999997</v>
      </c>
      <c r="J20">
        <v>7.92</v>
      </c>
      <c r="K20">
        <v>230.63399999999999</v>
      </c>
      <c r="L20">
        <v>11.462</v>
      </c>
      <c r="M20">
        <v>52.787999999999997</v>
      </c>
      <c r="N20">
        <v>11.404</v>
      </c>
      <c r="O20">
        <v>0.93300000000000005</v>
      </c>
      <c r="P20">
        <v>2.5350000000000001</v>
      </c>
      <c r="Q20">
        <v>0</v>
      </c>
      <c r="R20">
        <v>38.033999999999999</v>
      </c>
      <c r="S20">
        <v>55.9</v>
      </c>
      <c r="T20">
        <v>22.5</v>
      </c>
    </row>
    <row r="21" spans="1:20" x14ac:dyDescent="0.3">
      <c r="A21" t="s">
        <v>307</v>
      </c>
      <c r="B21">
        <v>267.28100000000001</v>
      </c>
      <c r="C21">
        <v>100</v>
      </c>
      <c r="D21">
        <v>100</v>
      </c>
      <c r="E21">
        <v>0.499</v>
      </c>
      <c r="F21">
        <v>79.613</v>
      </c>
      <c r="G21">
        <v>8.19</v>
      </c>
      <c r="H21">
        <v>97.858999999999995</v>
      </c>
      <c r="I21">
        <v>44.780999999999999</v>
      </c>
      <c r="J21">
        <v>7.9219999999999997</v>
      </c>
      <c r="K21">
        <v>230.684</v>
      </c>
      <c r="L21">
        <v>11.468</v>
      </c>
      <c r="M21">
        <v>52.683999999999997</v>
      </c>
      <c r="N21">
        <v>11.398</v>
      </c>
      <c r="O21">
        <v>0.92600000000000005</v>
      </c>
      <c r="P21">
        <v>2.5059999999999998</v>
      </c>
      <c r="Q21">
        <v>0</v>
      </c>
      <c r="R21">
        <v>37.606999999999999</v>
      </c>
      <c r="S21">
        <v>55.7</v>
      </c>
      <c r="T21">
        <v>22.5</v>
      </c>
    </row>
    <row r="22" spans="1:20" x14ac:dyDescent="0.3">
      <c r="A22" t="s">
        <v>308</v>
      </c>
      <c r="B22">
        <v>267.72000000000003</v>
      </c>
      <c r="C22">
        <v>100</v>
      </c>
      <c r="D22">
        <v>100</v>
      </c>
      <c r="E22">
        <v>0.39600000000000002</v>
      </c>
      <c r="F22">
        <v>80.096000000000004</v>
      </c>
      <c r="G22">
        <v>8.9320000000000004</v>
      </c>
      <c r="H22">
        <v>97.819000000000003</v>
      </c>
      <c r="I22">
        <v>44.822000000000003</v>
      </c>
      <c r="J22">
        <v>7.9219999999999997</v>
      </c>
      <c r="K22">
        <v>230.7</v>
      </c>
      <c r="L22">
        <v>11.609</v>
      </c>
      <c r="M22">
        <v>52.56</v>
      </c>
      <c r="N22">
        <v>11.404</v>
      </c>
      <c r="O22">
        <v>0.94899999999999995</v>
      </c>
      <c r="P22">
        <v>2.536</v>
      </c>
      <c r="Q22">
        <v>0</v>
      </c>
      <c r="R22">
        <v>36.856000000000002</v>
      </c>
      <c r="S22">
        <v>55.8</v>
      </c>
      <c r="T22">
        <v>22.5</v>
      </c>
    </row>
    <row r="23" spans="1:20" x14ac:dyDescent="0.3">
      <c r="A23" t="s">
        <v>309</v>
      </c>
      <c r="B23">
        <v>267.41199999999998</v>
      </c>
      <c r="C23">
        <v>100</v>
      </c>
      <c r="D23">
        <v>100</v>
      </c>
      <c r="E23">
        <v>0.5</v>
      </c>
      <c r="F23">
        <v>79.36</v>
      </c>
      <c r="G23">
        <v>8.5399999999999991</v>
      </c>
      <c r="H23">
        <v>97.662000000000006</v>
      </c>
      <c r="I23">
        <v>44.792999999999999</v>
      </c>
      <c r="J23">
        <v>7.9260000000000002</v>
      </c>
      <c r="K23">
        <v>230.79900000000001</v>
      </c>
      <c r="L23">
        <v>11.377000000000001</v>
      </c>
      <c r="M23">
        <v>52.548000000000002</v>
      </c>
      <c r="N23">
        <v>11.404999999999999</v>
      </c>
      <c r="O23">
        <v>0.95599999999999996</v>
      </c>
      <c r="P23">
        <v>2.5169999999999999</v>
      </c>
      <c r="Q23">
        <v>0</v>
      </c>
      <c r="R23">
        <v>37.11</v>
      </c>
      <c r="S23">
        <v>55.9</v>
      </c>
      <c r="T23">
        <v>22.5</v>
      </c>
    </row>
    <row r="24" spans="1:20" x14ac:dyDescent="0.3">
      <c r="A24" t="s">
        <v>310</v>
      </c>
      <c r="B24">
        <v>267.39699999999999</v>
      </c>
      <c r="C24">
        <v>100</v>
      </c>
      <c r="D24">
        <v>100</v>
      </c>
      <c r="E24">
        <v>0.57099999999999995</v>
      </c>
      <c r="F24">
        <v>80.599000000000004</v>
      </c>
      <c r="G24">
        <v>9.1820000000000004</v>
      </c>
      <c r="H24">
        <v>97.668000000000006</v>
      </c>
      <c r="I24">
        <v>45.984000000000002</v>
      </c>
      <c r="J24">
        <v>7.9219999999999997</v>
      </c>
      <c r="K24">
        <v>230.63399999999999</v>
      </c>
      <c r="L24">
        <v>11.555999999999999</v>
      </c>
      <c r="M24">
        <v>52.683999999999997</v>
      </c>
      <c r="N24">
        <v>11.407</v>
      </c>
      <c r="O24">
        <v>0.91200000000000003</v>
      </c>
      <c r="P24">
        <v>2.5379999999999998</v>
      </c>
      <c r="Q24">
        <v>0</v>
      </c>
      <c r="R24">
        <v>37.189</v>
      </c>
      <c r="S24">
        <v>55.8</v>
      </c>
      <c r="T24">
        <v>22.5</v>
      </c>
    </row>
    <row r="25" spans="1:20" ht="15" thickBot="1" x14ac:dyDescent="0.35">
      <c r="A25" t="s">
        <v>311</v>
      </c>
      <c r="B25">
        <v>267.86099999999999</v>
      </c>
      <c r="C25">
        <v>100</v>
      </c>
      <c r="D25">
        <v>100</v>
      </c>
      <c r="E25">
        <v>0.436</v>
      </c>
      <c r="F25">
        <v>80.5</v>
      </c>
      <c r="G25">
        <v>8.7319999999999993</v>
      </c>
      <c r="H25">
        <v>98.073999999999998</v>
      </c>
      <c r="I25">
        <v>44.817999999999998</v>
      </c>
      <c r="J25">
        <v>7.9180000000000001</v>
      </c>
      <c r="K25">
        <v>230.43700000000001</v>
      </c>
      <c r="L25">
        <v>11.337</v>
      </c>
      <c r="M25">
        <v>52.850999999999999</v>
      </c>
      <c r="N25">
        <v>11.423</v>
      </c>
      <c r="O25">
        <v>0.93600000000000005</v>
      </c>
      <c r="P25">
        <v>2.5030000000000001</v>
      </c>
      <c r="Q25">
        <v>0</v>
      </c>
      <c r="R25">
        <v>37.302999999999997</v>
      </c>
      <c r="S25">
        <v>55.7</v>
      </c>
      <c r="T25">
        <v>22.5</v>
      </c>
    </row>
    <row r="26" spans="1:20" ht="15" thickBot="1" x14ac:dyDescent="0.35">
      <c r="A26" t="s">
        <v>0</v>
      </c>
      <c r="B26" s="1">
        <f t="shared" ref="B26:S26" si="0">AVERAGE(B6:B25)</f>
        <v>267.09190000000007</v>
      </c>
      <c r="C26" s="1">
        <f t="shared" si="0"/>
        <v>100</v>
      </c>
      <c r="D26" s="1">
        <f t="shared" si="0"/>
        <v>100</v>
      </c>
      <c r="E26" s="10">
        <f t="shared" si="0"/>
        <v>0.48929999999999996</v>
      </c>
      <c r="F26" s="1">
        <f t="shared" si="0"/>
        <v>80.222399999999979</v>
      </c>
      <c r="G26" s="1">
        <f t="shared" si="0"/>
        <v>8.6413499999999974</v>
      </c>
      <c r="H26" s="10">
        <f t="shared" si="0"/>
        <v>97.930399999999992</v>
      </c>
      <c r="I26" s="1">
        <f t="shared" si="0"/>
        <v>44.747050000000002</v>
      </c>
      <c r="J26" s="8">
        <f t="shared" si="0"/>
        <v>7.9216000000000006</v>
      </c>
      <c r="K26" s="1">
        <f t="shared" si="0"/>
        <v>230.65974999999997</v>
      </c>
      <c r="L26" s="1">
        <f t="shared" si="0"/>
        <v>11.465399999999999</v>
      </c>
      <c r="M26" s="1">
        <f t="shared" si="0"/>
        <v>52.692550000000004</v>
      </c>
      <c r="N26" s="1">
        <f t="shared" si="0"/>
        <v>11.401899999999999</v>
      </c>
      <c r="O26" s="1">
        <f t="shared" si="0"/>
        <v>0.93059999999999987</v>
      </c>
      <c r="P26" s="1">
        <f t="shared" si="0"/>
        <v>2.5264500000000001</v>
      </c>
      <c r="Q26" s="1">
        <f t="shared" si="0"/>
        <v>0</v>
      </c>
      <c r="R26" s="1">
        <f t="shared" si="0"/>
        <v>37.306049999999992</v>
      </c>
      <c r="S26" s="1">
        <f t="shared" si="0"/>
        <v>55.849999999999987</v>
      </c>
      <c r="T26" s="8">
        <f>AVERAGE(T6:T25)</f>
        <v>22.5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1.5958500000000002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5729-9C38-41AD-BD67-D32876003D0C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7" sqref="L37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0.44148148148148147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59.913952293827236</v>
      </c>
      <c r="M2" s="8">
        <f>(H26*0.001*60)*(K2/100)*(G2/I2)</f>
        <v>2.5470140087533486</v>
      </c>
      <c r="O2" s="9">
        <f>100*((E26*C2)/((E26*C2)+(M2*E2)))</f>
        <v>13.375746089971663</v>
      </c>
      <c r="Q2" s="10">
        <f>100*J26*(1/(((C2/3.6)*E26)+((E2/3.6)*M2)))</f>
        <v>19.38083350133957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312</v>
      </c>
      <c r="B6">
        <v>269.57600000000002</v>
      </c>
      <c r="C6">
        <v>100</v>
      </c>
      <c r="D6">
        <v>100</v>
      </c>
      <c r="E6">
        <v>0.44</v>
      </c>
      <c r="F6">
        <v>81.081000000000003</v>
      </c>
      <c r="G6">
        <v>10.128</v>
      </c>
      <c r="H6">
        <v>99.438999999999993</v>
      </c>
      <c r="I6">
        <v>44.51</v>
      </c>
      <c r="J6">
        <v>7.9189999999999996</v>
      </c>
      <c r="K6">
        <v>230.65100000000001</v>
      </c>
      <c r="L6">
        <v>11.461</v>
      </c>
      <c r="M6">
        <v>52.765000000000001</v>
      </c>
      <c r="N6">
        <v>11.401999999999999</v>
      </c>
      <c r="O6">
        <v>0.93899999999999995</v>
      </c>
      <c r="P6">
        <v>2.5249999999999999</v>
      </c>
      <c r="Q6">
        <v>0</v>
      </c>
      <c r="R6">
        <v>37.896000000000001</v>
      </c>
      <c r="S6">
        <v>56.5</v>
      </c>
      <c r="T6">
        <v>23</v>
      </c>
    </row>
    <row r="7" spans="1:21" x14ac:dyDescent="0.3">
      <c r="A7" t="s">
        <v>313</v>
      </c>
      <c r="B7">
        <v>270.00700000000001</v>
      </c>
      <c r="C7">
        <v>100</v>
      </c>
      <c r="D7">
        <v>100</v>
      </c>
      <c r="E7">
        <v>0.53800000000000003</v>
      </c>
      <c r="F7">
        <v>80.786000000000001</v>
      </c>
      <c r="G7">
        <v>10.212999999999999</v>
      </c>
      <c r="H7">
        <v>98.646000000000001</v>
      </c>
      <c r="I7">
        <v>44.05</v>
      </c>
      <c r="J7">
        <v>7.9290000000000003</v>
      </c>
      <c r="K7">
        <v>230.864</v>
      </c>
      <c r="L7">
        <v>11.475</v>
      </c>
      <c r="M7">
        <v>52.570999999999998</v>
      </c>
      <c r="N7">
        <v>11.396000000000001</v>
      </c>
      <c r="O7">
        <v>0.93100000000000005</v>
      </c>
      <c r="P7">
        <v>2.512</v>
      </c>
      <c r="Q7">
        <v>0</v>
      </c>
      <c r="R7">
        <v>37.402999999999999</v>
      </c>
      <c r="S7">
        <v>56.5</v>
      </c>
      <c r="T7">
        <v>23</v>
      </c>
    </row>
    <row r="8" spans="1:21" x14ac:dyDescent="0.3">
      <c r="A8" t="s">
        <v>314</v>
      </c>
      <c r="B8">
        <v>269.84300000000002</v>
      </c>
      <c r="C8">
        <v>100</v>
      </c>
      <c r="D8">
        <v>100</v>
      </c>
      <c r="E8">
        <v>0.51500000000000001</v>
      </c>
      <c r="F8">
        <v>80.331999999999994</v>
      </c>
      <c r="G8">
        <v>9.8879999999999999</v>
      </c>
      <c r="H8">
        <v>98.412000000000006</v>
      </c>
      <c r="I8">
        <v>44.539000000000001</v>
      </c>
      <c r="J8">
        <v>7.915</v>
      </c>
      <c r="K8">
        <v>230.47</v>
      </c>
      <c r="L8">
        <v>11.459</v>
      </c>
      <c r="M8">
        <v>52.606999999999999</v>
      </c>
      <c r="N8">
        <v>11.407</v>
      </c>
      <c r="O8">
        <v>0.93200000000000005</v>
      </c>
      <c r="P8">
        <v>2.5</v>
      </c>
      <c r="Q8">
        <v>0</v>
      </c>
      <c r="R8">
        <v>36.911000000000001</v>
      </c>
      <c r="S8">
        <v>56.5</v>
      </c>
      <c r="T8">
        <v>23</v>
      </c>
    </row>
    <row r="9" spans="1:21" x14ac:dyDescent="0.3">
      <c r="A9" t="s">
        <v>315</v>
      </c>
      <c r="B9">
        <v>269.88099999999997</v>
      </c>
      <c r="C9">
        <v>100</v>
      </c>
      <c r="D9">
        <v>100</v>
      </c>
      <c r="E9">
        <v>0.40799999999999997</v>
      </c>
      <c r="F9">
        <v>81.097999999999999</v>
      </c>
      <c r="G9">
        <v>9.4309999999999992</v>
      </c>
      <c r="H9">
        <v>98.882999999999996</v>
      </c>
      <c r="I9">
        <v>44.625</v>
      </c>
      <c r="J9">
        <v>7.9249999999999998</v>
      </c>
      <c r="K9">
        <v>230.7</v>
      </c>
      <c r="L9">
        <v>11.467000000000001</v>
      </c>
      <c r="M9">
        <v>52.771000000000001</v>
      </c>
      <c r="N9">
        <v>11.4</v>
      </c>
      <c r="O9">
        <v>0.94399999999999995</v>
      </c>
      <c r="P9">
        <v>2.5190000000000001</v>
      </c>
      <c r="Q9">
        <v>0</v>
      </c>
      <c r="R9">
        <v>37.241999999999997</v>
      </c>
      <c r="S9">
        <v>56.6</v>
      </c>
      <c r="T9">
        <v>23</v>
      </c>
    </row>
    <row r="10" spans="1:21" x14ac:dyDescent="0.3">
      <c r="A10" t="s">
        <v>316</v>
      </c>
      <c r="B10">
        <v>269.88099999999997</v>
      </c>
      <c r="C10">
        <v>100</v>
      </c>
      <c r="D10">
        <v>100</v>
      </c>
      <c r="E10">
        <v>0.52500000000000002</v>
      </c>
      <c r="F10">
        <v>80.852000000000004</v>
      </c>
      <c r="G10">
        <v>9.4969999999999999</v>
      </c>
      <c r="H10">
        <v>98.876999999999995</v>
      </c>
      <c r="I10">
        <v>44.411000000000001</v>
      </c>
      <c r="J10">
        <v>7.915</v>
      </c>
      <c r="K10">
        <v>230.47</v>
      </c>
      <c r="L10">
        <v>11.46</v>
      </c>
      <c r="M10">
        <v>52.81</v>
      </c>
      <c r="N10">
        <v>11.4</v>
      </c>
      <c r="O10">
        <v>0.94299999999999995</v>
      </c>
      <c r="P10">
        <v>2.5179999999999998</v>
      </c>
      <c r="Q10">
        <v>0</v>
      </c>
      <c r="R10">
        <v>37.591000000000001</v>
      </c>
      <c r="S10">
        <v>56.6</v>
      </c>
      <c r="T10">
        <v>23</v>
      </c>
    </row>
    <row r="11" spans="1:21" x14ac:dyDescent="0.3">
      <c r="A11" t="s">
        <v>317</v>
      </c>
      <c r="B11">
        <v>270.51100000000002</v>
      </c>
      <c r="C11">
        <v>100</v>
      </c>
      <c r="D11">
        <v>100</v>
      </c>
      <c r="E11">
        <v>0.42699999999999999</v>
      </c>
      <c r="F11">
        <v>80.933999999999997</v>
      </c>
      <c r="G11">
        <v>9.1720000000000006</v>
      </c>
      <c r="H11">
        <v>99.453000000000003</v>
      </c>
      <c r="I11">
        <v>44.731999999999999</v>
      </c>
      <c r="J11">
        <v>7.9160000000000004</v>
      </c>
      <c r="K11">
        <v>230.404</v>
      </c>
      <c r="L11">
        <v>11.445</v>
      </c>
      <c r="M11">
        <v>52.783999999999999</v>
      </c>
      <c r="N11">
        <v>11.406000000000001</v>
      </c>
      <c r="O11">
        <v>0.95099999999999996</v>
      </c>
      <c r="P11">
        <v>2.5089999999999999</v>
      </c>
      <c r="Q11">
        <v>0</v>
      </c>
      <c r="R11">
        <v>38.082000000000001</v>
      </c>
      <c r="S11">
        <v>56.4</v>
      </c>
      <c r="T11">
        <v>23</v>
      </c>
    </row>
    <row r="12" spans="1:21" x14ac:dyDescent="0.3">
      <c r="A12" t="s">
        <v>318</v>
      </c>
      <c r="B12">
        <v>270.51100000000002</v>
      </c>
      <c r="C12">
        <v>100</v>
      </c>
      <c r="D12">
        <v>100</v>
      </c>
      <c r="E12">
        <v>0.45800000000000002</v>
      </c>
      <c r="F12">
        <v>78.897000000000006</v>
      </c>
      <c r="G12">
        <v>9.4990000000000006</v>
      </c>
      <c r="H12">
        <v>99.838999999999999</v>
      </c>
      <c r="I12">
        <v>44.395000000000003</v>
      </c>
      <c r="J12">
        <v>7.9160000000000004</v>
      </c>
      <c r="K12">
        <v>230.404</v>
      </c>
      <c r="L12">
        <v>11.454000000000001</v>
      </c>
      <c r="M12">
        <v>52.741</v>
      </c>
      <c r="N12">
        <v>11.401</v>
      </c>
      <c r="O12">
        <v>0.93300000000000005</v>
      </c>
      <c r="P12">
        <v>2.508</v>
      </c>
      <c r="Q12">
        <v>0</v>
      </c>
      <c r="R12">
        <v>38.593000000000004</v>
      </c>
      <c r="S12">
        <v>56.5</v>
      </c>
      <c r="T12">
        <v>23</v>
      </c>
    </row>
    <row r="13" spans="1:21" x14ac:dyDescent="0.3">
      <c r="A13" t="s">
        <v>319</v>
      </c>
      <c r="B13">
        <v>269.81700000000001</v>
      </c>
      <c r="C13">
        <v>100</v>
      </c>
      <c r="D13">
        <v>100</v>
      </c>
      <c r="E13">
        <v>0.433</v>
      </c>
      <c r="F13">
        <v>80.158000000000001</v>
      </c>
      <c r="G13">
        <v>9.4890000000000008</v>
      </c>
      <c r="H13">
        <v>99.977999999999994</v>
      </c>
      <c r="I13">
        <v>44.390999999999998</v>
      </c>
      <c r="J13">
        <v>7.9260000000000002</v>
      </c>
      <c r="K13">
        <v>230.79900000000001</v>
      </c>
      <c r="L13">
        <v>11.468999999999999</v>
      </c>
      <c r="M13">
        <v>52.743000000000002</v>
      </c>
      <c r="N13">
        <v>11.401999999999999</v>
      </c>
      <c r="O13">
        <v>0.94199999999999995</v>
      </c>
      <c r="P13">
        <v>2.504</v>
      </c>
      <c r="Q13">
        <v>0</v>
      </c>
      <c r="R13">
        <v>38.630000000000003</v>
      </c>
      <c r="S13">
        <v>56.5</v>
      </c>
      <c r="T13">
        <v>23</v>
      </c>
    </row>
    <row r="14" spans="1:21" x14ac:dyDescent="0.3">
      <c r="A14" t="s">
        <v>320</v>
      </c>
      <c r="B14">
        <v>269.87200000000001</v>
      </c>
      <c r="C14">
        <v>100</v>
      </c>
      <c r="D14">
        <v>100</v>
      </c>
      <c r="E14">
        <v>0.41099999999999998</v>
      </c>
      <c r="F14">
        <v>80.543000000000006</v>
      </c>
      <c r="G14">
        <v>10.148</v>
      </c>
      <c r="H14">
        <v>99.358999999999995</v>
      </c>
      <c r="I14">
        <v>44.588000000000001</v>
      </c>
      <c r="J14">
        <v>7.9219999999999997</v>
      </c>
      <c r="K14">
        <v>230.667</v>
      </c>
      <c r="L14">
        <v>11.467000000000001</v>
      </c>
      <c r="M14">
        <v>52.570999999999998</v>
      </c>
      <c r="N14">
        <v>11.4</v>
      </c>
      <c r="O14">
        <v>0.92100000000000004</v>
      </c>
      <c r="P14">
        <v>2.5059999999999998</v>
      </c>
      <c r="Q14">
        <v>0</v>
      </c>
      <c r="R14">
        <v>37.701000000000001</v>
      </c>
      <c r="S14">
        <v>56.2</v>
      </c>
      <c r="T14">
        <v>23</v>
      </c>
    </row>
    <row r="15" spans="1:21" x14ac:dyDescent="0.3">
      <c r="A15" t="s">
        <v>321</v>
      </c>
      <c r="B15">
        <v>269.47199999999998</v>
      </c>
      <c r="C15">
        <v>100</v>
      </c>
      <c r="D15">
        <v>100</v>
      </c>
      <c r="E15">
        <v>0.40100000000000002</v>
      </c>
      <c r="F15">
        <v>80.052999999999997</v>
      </c>
      <c r="G15">
        <v>9.7070000000000007</v>
      </c>
      <c r="H15">
        <v>99.195999999999998</v>
      </c>
      <c r="I15">
        <v>44.645000000000003</v>
      </c>
      <c r="J15">
        <v>7.92</v>
      </c>
      <c r="K15">
        <v>230.601</v>
      </c>
      <c r="L15">
        <v>11.457000000000001</v>
      </c>
      <c r="M15">
        <v>52.686</v>
      </c>
      <c r="N15">
        <v>11.4</v>
      </c>
      <c r="O15">
        <v>0.94399999999999995</v>
      </c>
      <c r="P15">
        <v>2.5030000000000001</v>
      </c>
      <c r="Q15">
        <v>0</v>
      </c>
      <c r="R15">
        <v>37.436</v>
      </c>
      <c r="S15">
        <v>56.5</v>
      </c>
      <c r="T15">
        <v>23</v>
      </c>
    </row>
    <row r="16" spans="1:21" x14ac:dyDescent="0.3">
      <c r="A16" t="s">
        <v>322</v>
      </c>
      <c r="B16">
        <v>269.67</v>
      </c>
      <c r="C16">
        <v>100</v>
      </c>
      <c r="D16">
        <v>100</v>
      </c>
      <c r="E16">
        <v>0.55100000000000005</v>
      </c>
      <c r="F16">
        <v>80.305999999999997</v>
      </c>
      <c r="G16">
        <v>9.6319999999999997</v>
      </c>
      <c r="H16">
        <v>98.835999999999999</v>
      </c>
      <c r="I16">
        <v>44.427999999999997</v>
      </c>
      <c r="J16">
        <v>7.9139999999999997</v>
      </c>
      <c r="K16">
        <v>230.45400000000001</v>
      </c>
      <c r="L16">
        <v>11.462</v>
      </c>
      <c r="M16">
        <v>52.7</v>
      </c>
      <c r="N16">
        <v>11.401999999999999</v>
      </c>
      <c r="O16">
        <v>0.93899999999999995</v>
      </c>
      <c r="P16">
        <v>2.4969999999999999</v>
      </c>
      <c r="Q16">
        <v>0</v>
      </c>
      <c r="R16">
        <v>37.215000000000003</v>
      </c>
      <c r="S16">
        <v>56.5</v>
      </c>
      <c r="T16">
        <v>23</v>
      </c>
    </row>
    <row r="17" spans="1:20" x14ac:dyDescent="0.3">
      <c r="A17" t="s">
        <v>323</v>
      </c>
      <c r="B17">
        <v>269.76299999999998</v>
      </c>
      <c r="C17">
        <v>100</v>
      </c>
      <c r="D17">
        <v>100</v>
      </c>
      <c r="E17">
        <v>0.46100000000000002</v>
      </c>
      <c r="F17">
        <v>80.772999999999996</v>
      </c>
      <c r="G17">
        <v>10.138999999999999</v>
      </c>
      <c r="H17">
        <v>98.671999999999997</v>
      </c>
      <c r="I17">
        <v>44.448</v>
      </c>
      <c r="J17">
        <v>7.9279999999999999</v>
      </c>
      <c r="K17">
        <v>230.79900000000001</v>
      </c>
      <c r="L17">
        <v>11.596</v>
      </c>
      <c r="M17">
        <v>52.703000000000003</v>
      </c>
      <c r="N17">
        <v>11.4</v>
      </c>
      <c r="O17">
        <v>0.94699999999999995</v>
      </c>
      <c r="P17">
        <v>2.5059999999999998</v>
      </c>
      <c r="Q17">
        <v>0</v>
      </c>
      <c r="R17">
        <v>37.360999999999997</v>
      </c>
      <c r="S17">
        <v>56.5</v>
      </c>
      <c r="T17">
        <v>23</v>
      </c>
    </row>
    <row r="18" spans="1:20" x14ac:dyDescent="0.3">
      <c r="A18" t="s">
        <v>324</v>
      </c>
      <c r="B18">
        <v>270.137</v>
      </c>
      <c r="C18">
        <v>100</v>
      </c>
      <c r="D18">
        <v>100</v>
      </c>
      <c r="E18">
        <v>0.42799999999999999</v>
      </c>
      <c r="F18">
        <v>79.701999999999998</v>
      </c>
      <c r="G18">
        <v>9.9420000000000002</v>
      </c>
      <c r="H18">
        <v>98.828999999999994</v>
      </c>
      <c r="I18">
        <v>44.457000000000001</v>
      </c>
      <c r="J18">
        <v>7.9169999999999998</v>
      </c>
      <c r="K18">
        <v>230.55199999999999</v>
      </c>
      <c r="L18">
        <v>11.586</v>
      </c>
      <c r="M18">
        <v>52.753</v>
      </c>
      <c r="N18">
        <v>11.404999999999999</v>
      </c>
      <c r="O18">
        <v>0.91700000000000004</v>
      </c>
      <c r="P18">
        <v>2.5099999999999998</v>
      </c>
      <c r="Q18">
        <v>0</v>
      </c>
      <c r="R18">
        <v>37.680999999999997</v>
      </c>
      <c r="S18">
        <v>56.3</v>
      </c>
      <c r="T18">
        <v>23</v>
      </c>
    </row>
    <row r="19" spans="1:20" x14ac:dyDescent="0.3">
      <c r="A19" t="s">
        <v>325</v>
      </c>
      <c r="B19">
        <v>270.33199999999999</v>
      </c>
      <c r="C19">
        <v>100</v>
      </c>
      <c r="D19">
        <v>100</v>
      </c>
      <c r="E19">
        <v>0.46899999999999997</v>
      </c>
      <c r="F19">
        <v>80.06</v>
      </c>
      <c r="G19">
        <v>9.8719999999999999</v>
      </c>
      <c r="H19">
        <v>98.694000000000003</v>
      </c>
      <c r="I19">
        <v>44.654000000000003</v>
      </c>
      <c r="J19">
        <v>7.9189999999999996</v>
      </c>
      <c r="K19">
        <v>230.07599999999999</v>
      </c>
      <c r="L19">
        <v>11.381</v>
      </c>
      <c r="M19">
        <v>52.664000000000001</v>
      </c>
      <c r="N19">
        <v>11.401</v>
      </c>
      <c r="O19">
        <v>0.93300000000000005</v>
      </c>
      <c r="P19">
        <v>2.548</v>
      </c>
      <c r="Q19">
        <v>0</v>
      </c>
      <c r="R19">
        <v>37.365000000000002</v>
      </c>
      <c r="S19">
        <v>56.4</v>
      </c>
      <c r="T19">
        <v>23</v>
      </c>
    </row>
    <row r="20" spans="1:20" x14ac:dyDescent="0.3">
      <c r="A20" t="s">
        <v>326</v>
      </c>
      <c r="B20">
        <v>270.351</v>
      </c>
      <c r="C20">
        <v>100</v>
      </c>
      <c r="D20">
        <v>100</v>
      </c>
      <c r="E20">
        <v>0.40600000000000003</v>
      </c>
      <c r="F20">
        <v>81.218999999999994</v>
      </c>
      <c r="G20">
        <v>10.087</v>
      </c>
      <c r="H20">
        <v>98.888000000000005</v>
      </c>
      <c r="I20">
        <v>44.506</v>
      </c>
      <c r="J20">
        <v>7.915</v>
      </c>
      <c r="K20">
        <v>230.63399999999999</v>
      </c>
      <c r="L20">
        <v>11.577</v>
      </c>
      <c r="M20">
        <v>52.66</v>
      </c>
      <c r="N20">
        <v>11.401999999999999</v>
      </c>
      <c r="O20">
        <v>0.93200000000000005</v>
      </c>
      <c r="P20">
        <v>2.52</v>
      </c>
      <c r="Q20">
        <v>0</v>
      </c>
      <c r="R20">
        <v>37.411000000000001</v>
      </c>
      <c r="S20">
        <v>56.5</v>
      </c>
      <c r="T20">
        <v>23</v>
      </c>
    </row>
    <row r="21" spans="1:20" x14ac:dyDescent="0.3">
      <c r="A21" t="s">
        <v>327</v>
      </c>
      <c r="B21">
        <v>269.93099999999998</v>
      </c>
      <c r="C21">
        <v>100</v>
      </c>
      <c r="D21">
        <v>100</v>
      </c>
      <c r="E21">
        <v>0.53800000000000003</v>
      </c>
      <c r="F21">
        <v>80.082999999999998</v>
      </c>
      <c r="G21">
        <v>10.132999999999999</v>
      </c>
      <c r="H21">
        <v>99.177000000000007</v>
      </c>
      <c r="I21">
        <v>44.551000000000002</v>
      </c>
      <c r="J21">
        <v>7.9219999999999997</v>
      </c>
      <c r="K21">
        <v>230.733</v>
      </c>
      <c r="L21">
        <v>11.593999999999999</v>
      </c>
      <c r="M21">
        <v>52.728999999999999</v>
      </c>
      <c r="N21">
        <v>11.406000000000001</v>
      </c>
      <c r="O21">
        <v>0.91900000000000004</v>
      </c>
      <c r="P21">
        <v>2.5019999999999998</v>
      </c>
      <c r="Q21">
        <v>0</v>
      </c>
      <c r="R21">
        <v>37.927</v>
      </c>
      <c r="S21">
        <v>56.4</v>
      </c>
      <c r="T21">
        <v>23</v>
      </c>
    </row>
    <row r="22" spans="1:20" x14ac:dyDescent="0.3">
      <c r="A22" t="s">
        <v>328</v>
      </c>
      <c r="B22">
        <v>269.387</v>
      </c>
      <c r="C22">
        <v>100</v>
      </c>
      <c r="D22">
        <v>100</v>
      </c>
      <c r="E22">
        <v>0.42899999999999999</v>
      </c>
      <c r="F22">
        <v>80.016999999999996</v>
      </c>
      <c r="G22">
        <v>10.125999999999999</v>
      </c>
      <c r="H22">
        <v>99.325999999999993</v>
      </c>
      <c r="I22">
        <v>44.603999999999999</v>
      </c>
      <c r="J22">
        <v>7.9180000000000001</v>
      </c>
      <c r="K22">
        <v>230.63399999999999</v>
      </c>
      <c r="L22">
        <v>11.558999999999999</v>
      </c>
      <c r="M22">
        <v>52.761000000000003</v>
      </c>
      <c r="N22">
        <v>11.401999999999999</v>
      </c>
      <c r="O22">
        <v>0.93600000000000005</v>
      </c>
      <c r="P22">
        <v>2.5099999999999998</v>
      </c>
      <c r="Q22">
        <v>0</v>
      </c>
      <c r="R22">
        <v>37.860999999999997</v>
      </c>
      <c r="S22">
        <v>56.5</v>
      </c>
      <c r="T22">
        <v>23</v>
      </c>
    </row>
    <row r="23" spans="1:20" x14ac:dyDescent="0.3">
      <c r="A23" t="s">
        <v>329</v>
      </c>
      <c r="B23">
        <v>269.911</v>
      </c>
      <c r="C23">
        <v>100</v>
      </c>
      <c r="D23">
        <v>100</v>
      </c>
      <c r="E23">
        <v>0.47899999999999998</v>
      </c>
      <c r="F23">
        <v>81.108000000000004</v>
      </c>
      <c r="G23">
        <v>9.51</v>
      </c>
      <c r="H23">
        <v>99.418999999999997</v>
      </c>
      <c r="I23">
        <v>44.695</v>
      </c>
      <c r="J23">
        <v>7.9160000000000004</v>
      </c>
      <c r="K23">
        <v>230.43700000000001</v>
      </c>
      <c r="L23">
        <v>11.412000000000001</v>
      </c>
      <c r="M23">
        <v>52.719000000000001</v>
      </c>
      <c r="N23">
        <v>11.397</v>
      </c>
      <c r="O23">
        <v>0.91300000000000003</v>
      </c>
      <c r="P23">
        <v>2.4980000000000002</v>
      </c>
      <c r="Q23">
        <v>0</v>
      </c>
      <c r="R23">
        <v>38.146000000000001</v>
      </c>
      <c r="S23">
        <v>56.5</v>
      </c>
      <c r="T23">
        <v>23</v>
      </c>
    </row>
    <row r="24" spans="1:20" x14ac:dyDescent="0.3">
      <c r="A24" t="s">
        <v>330</v>
      </c>
      <c r="B24">
        <v>269.98700000000002</v>
      </c>
      <c r="C24">
        <v>100</v>
      </c>
      <c r="D24">
        <v>100</v>
      </c>
      <c r="E24">
        <v>0.433</v>
      </c>
      <c r="F24">
        <v>81.078000000000003</v>
      </c>
      <c r="G24">
        <v>10.151</v>
      </c>
      <c r="H24">
        <v>100.065</v>
      </c>
      <c r="I24">
        <v>44.558999999999997</v>
      </c>
      <c r="J24">
        <v>7.92</v>
      </c>
      <c r="K24">
        <v>230.76599999999999</v>
      </c>
      <c r="L24">
        <v>11.462999999999999</v>
      </c>
      <c r="M24">
        <v>52.783999999999999</v>
      </c>
      <c r="N24">
        <v>11.407</v>
      </c>
      <c r="O24">
        <v>0.94</v>
      </c>
      <c r="P24">
        <v>2.5270000000000001</v>
      </c>
      <c r="Q24">
        <v>0</v>
      </c>
      <c r="R24">
        <v>38.658999999999999</v>
      </c>
      <c r="S24">
        <v>56.3</v>
      </c>
      <c r="T24">
        <v>23</v>
      </c>
    </row>
    <row r="25" spans="1:20" ht="15" thickBot="1" x14ac:dyDescent="0.35">
      <c r="A25" t="s">
        <v>331</v>
      </c>
      <c r="B25">
        <v>270.24900000000002</v>
      </c>
      <c r="C25">
        <v>100</v>
      </c>
      <c r="D25">
        <v>100</v>
      </c>
      <c r="E25">
        <v>0.46600000000000003</v>
      </c>
      <c r="F25">
        <v>80.27</v>
      </c>
      <c r="G25">
        <v>9.9770000000000003</v>
      </c>
      <c r="H25">
        <v>99.867999999999995</v>
      </c>
      <c r="I25">
        <v>44.567</v>
      </c>
      <c r="J25">
        <v>7.9160000000000004</v>
      </c>
      <c r="K25">
        <v>230.45400000000001</v>
      </c>
      <c r="L25">
        <v>11.452</v>
      </c>
      <c r="M25">
        <v>52.720999999999997</v>
      </c>
      <c r="N25">
        <v>11.4</v>
      </c>
      <c r="O25">
        <v>0.95299999999999996</v>
      </c>
      <c r="P25">
        <v>2.5219999999999998</v>
      </c>
      <c r="Q25">
        <v>0</v>
      </c>
      <c r="R25">
        <v>38.325000000000003</v>
      </c>
      <c r="S25">
        <v>56.4</v>
      </c>
      <c r="T25">
        <v>23</v>
      </c>
    </row>
    <row r="26" spans="1:20" ht="15" thickBot="1" x14ac:dyDescent="0.35">
      <c r="A26" t="s">
        <v>0</v>
      </c>
      <c r="B26" s="1">
        <f t="shared" ref="B26:S26" si="0">AVERAGE(B6:B25)</f>
        <v>269.95445000000001</v>
      </c>
      <c r="C26" s="1">
        <f t="shared" si="0"/>
        <v>100</v>
      </c>
      <c r="D26" s="1">
        <f t="shared" si="0"/>
        <v>100</v>
      </c>
      <c r="E26" s="10">
        <f t="shared" si="0"/>
        <v>0.46079999999999999</v>
      </c>
      <c r="F26" s="1">
        <f t="shared" si="0"/>
        <v>80.467500000000001</v>
      </c>
      <c r="G26" s="1">
        <f t="shared" si="0"/>
        <v>9.8370500000000014</v>
      </c>
      <c r="H26" s="10">
        <f t="shared" si="0"/>
        <v>99.192799999999991</v>
      </c>
      <c r="I26" s="1">
        <f t="shared" si="0"/>
        <v>44.517749999999999</v>
      </c>
      <c r="J26" s="8">
        <f t="shared" si="0"/>
        <v>7.9193999999999987</v>
      </c>
      <c r="K26" s="1">
        <f t="shared" si="0"/>
        <v>230.57845000000003</v>
      </c>
      <c r="L26" s="1">
        <f t="shared" si="0"/>
        <v>11.4848</v>
      </c>
      <c r="M26" s="1">
        <f t="shared" si="0"/>
        <v>52.712149999999994</v>
      </c>
      <c r="N26" s="1">
        <f t="shared" si="0"/>
        <v>11.4018</v>
      </c>
      <c r="O26" s="1">
        <f t="shared" si="0"/>
        <v>0.93545</v>
      </c>
      <c r="P26" s="1">
        <f t="shared" si="0"/>
        <v>2.5122000000000004</v>
      </c>
      <c r="Q26" s="1">
        <f t="shared" si="0"/>
        <v>0</v>
      </c>
      <c r="R26" s="1">
        <f t="shared" si="0"/>
        <v>37.771799999999999</v>
      </c>
      <c r="S26" s="1">
        <f t="shared" si="0"/>
        <v>56.454999999999998</v>
      </c>
      <c r="T26" s="8">
        <f>AVERAGE(T6:T25)</f>
        <v>23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1.5767500000000005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9EA3-D975-4075-831D-6EDDCE348740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7" sqref="M37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0.44333333333333336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59.924891387054799</v>
      </c>
      <c r="M2" s="8">
        <f>(H26*0.001*60)*(K2/100)*(G2/I2)</f>
        <v>2.7399856161395855</v>
      </c>
      <c r="O2" s="9">
        <f>100*((E26*C2)/((E26*C2)+(M2*E2)))</f>
        <v>13.530623866341953</v>
      </c>
      <c r="Q2" s="10">
        <f>100*J26*(1/(((C2/3.6)*E26)+((E2/3.6)*M2)))</f>
        <v>22.872101493894753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332</v>
      </c>
      <c r="B6">
        <v>312.90499999999997</v>
      </c>
      <c r="C6">
        <v>100</v>
      </c>
      <c r="D6">
        <v>100</v>
      </c>
      <c r="E6">
        <v>0.50900000000000001</v>
      </c>
      <c r="F6">
        <v>80.736999999999995</v>
      </c>
      <c r="G6">
        <v>16.173999999999999</v>
      </c>
      <c r="H6">
        <v>106.66500000000001</v>
      </c>
      <c r="I6">
        <v>45.011000000000003</v>
      </c>
      <c r="J6">
        <v>10.067</v>
      </c>
      <c r="K6">
        <v>230.37200000000001</v>
      </c>
      <c r="L6">
        <v>14.61</v>
      </c>
      <c r="M6">
        <v>52.408000000000001</v>
      </c>
      <c r="N6">
        <v>14.435</v>
      </c>
      <c r="O6">
        <v>0.95599999999999996</v>
      </c>
      <c r="P6">
        <v>2.7109999999999999</v>
      </c>
      <c r="Q6">
        <v>0</v>
      </c>
      <c r="R6">
        <v>40.936</v>
      </c>
      <c r="S6">
        <v>61</v>
      </c>
      <c r="T6">
        <v>20</v>
      </c>
    </row>
    <row r="7" spans="1:21" x14ac:dyDescent="0.3">
      <c r="A7" t="s">
        <v>333</v>
      </c>
      <c r="B7">
        <v>313.399</v>
      </c>
      <c r="C7">
        <v>100</v>
      </c>
      <c r="D7">
        <v>100</v>
      </c>
      <c r="E7">
        <v>0.49399999999999999</v>
      </c>
      <c r="F7">
        <v>81.340999999999994</v>
      </c>
      <c r="G7">
        <v>15.547000000000001</v>
      </c>
      <c r="H7">
        <v>106.09</v>
      </c>
      <c r="I7">
        <v>45.064</v>
      </c>
      <c r="J7">
        <v>10.073</v>
      </c>
      <c r="K7">
        <v>230.24</v>
      </c>
      <c r="L7">
        <v>14.760999999999999</v>
      </c>
      <c r="M7">
        <v>52.363999999999997</v>
      </c>
      <c r="N7">
        <v>14.436999999999999</v>
      </c>
      <c r="O7">
        <v>0.96299999999999997</v>
      </c>
      <c r="P7">
        <v>2.726</v>
      </c>
      <c r="Q7">
        <v>0</v>
      </c>
      <c r="R7">
        <v>39.947000000000003</v>
      </c>
      <c r="S7">
        <v>61.1</v>
      </c>
      <c r="T7">
        <v>20</v>
      </c>
    </row>
    <row r="8" spans="1:21" x14ac:dyDescent="0.3">
      <c r="A8" t="s">
        <v>334</v>
      </c>
      <c r="B8">
        <v>313.63299999999998</v>
      </c>
      <c r="C8">
        <v>100</v>
      </c>
      <c r="D8">
        <v>100</v>
      </c>
      <c r="E8">
        <v>0.63400000000000001</v>
      </c>
      <c r="F8">
        <v>81.846999999999994</v>
      </c>
      <c r="G8">
        <v>16.338999999999999</v>
      </c>
      <c r="H8">
        <v>106.625</v>
      </c>
      <c r="I8">
        <v>45.081000000000003</v>
      </c>
      <c r="J8">
        <v>10.07</v>
      </c>
      <c r="K8">
        <v>230.30600000000001</v>
      </c>
      <c r="L8">
        <v>14.438000000000001</v>
      </c>
      <c r="M8">
        <v>52.686</v>
      </c>
      <c r="N8">
        <v>14.429</v>
      </c>
      <c r="O8">
        <v>0.95299999999999996</v>
      </c>
      <c r="P8">
        <v>2.722</v>
      </c>
      <c r="Q8">
        <v>0</v>
      </c>
      <c r="R8">
        <v>40.686</v>
      </c>
      <c r="S8">
        <v>61.1</v>
      </c>
      <c r="T8">
        <v>20</v>
      </c>
    </row>
    <row r="9" spans="1:21" x14ac:dyDescent="0.3">
      <c r="A9" t="s">
        <v>335</v>
      </c>
      <c r="B9">
        <v>314.56099999999998</v>
      </c>
      <c r="C9">
        <v>100</v>
      </c>
      <c r="D9">
        <v>100</v>
      </c>
      <c r="E9">
        <v>0.66100000000000003</v>
      </c>
      <c r="F9">
        <v>82.396000000000001</v>
      </c>
      <c r="G9">
        <v>16.356999999999999</v>
      </c>
      <c r="H9">
        <v>107.414</v>
      </c>
      <c r="I9">
        <v>45.905999999999999</v>
      </c>
      <c r="J9">
        <v>10.073</v>
      </c>
      <c r="K9">
        <v>230.322</v>
      </c>
      <c r="L9">
        <v>14.725</v>
      </c>
      <c r="M9">
        <v>52.843000000000004</v>
      </c>
      <c r="N9">
        <v>14.433</v>
      </c>
      <c r="O9">
        <v>0.94</v>
      </c>
      <c r="P9">
        <v>2.734</v>
      </c>
      <c r="Q9">
        <v>0</v>
      </c>
      <c r="R9">
        <v>41.674999999999997</v>
      </c>
      <c r="S9">
        <v>61.1</v>
      </c>
      <c r="T9">
        <v>20</v>
      </c>
    </row>
    <row r="10" spans="1:21" x14ac:dyDescent="0.3">
      <c r="A10" t="s">
        <v>336</v>
      </c>
      <c r="B10">
        <v>314.221</v>
      </c>
      <c r="C10">
        <v>100</v>
      </c>
      <c r="D10">
        <v>100</v>
      </c>
      <c r="E10">
        <v>0.45300000000000001</v>
      </c>
      <c r="F10">
        <v>82.241</v>
      </c>
      <c r="G10">
        <v>16.826000000000001</v>
      </c>
      <c r="H10">
        <v>106.879</v>
      </c>
      <c r="I10">
        <v>45.302999999999997</v>
      </c>
      <c r="J10">
        <v>10.073</v>
      </c>
      <c r="K10">
        <v>230.50299999999999</v>
      </c>
      <c r="L10">
        <v>14.701000000000001</v>
      </c>
      <c r="M10">
        <v>52.52</v>
      </c>
      <c r="N10">
        <v>14.433</v>
      </c>
      <c r="O10">
        <v>0.95</v>
      </c>
      <c r="P10">
        <v>2.7290000000000001</v>
      </c>
      <c r="Q10">
        <v>0</v>
      </c>
      <c r="R10">
        <v>40.898000000000003</v>
      </c>
      <c r="S10">
        <v>61</v>
      </c>
      <c r="T10">
        <v>20</v>
      </c>
    </row>
    <row r="11" spans="1:21" x14ac:dyDescent="0.3">
      <c r="A11" t="s">
        <v>337</v>
      </c>
      <c r="B11">
        <v>314.13200000000001</v>
      </c>
      <c r="C11">
        <v>100</v>
      </c>
      <c r="D11">
        <v>100</v>
      </c>
      <c r="E11">
        <v>0.42199999999999999</v>
      </c>
      <c r="F11">
        <v>81.590999999999994</v>
      </c>
      <c r="G11">
        <v>16.486000000000001</v>
      </c>
      <c r="H11">
        <v>106.1</v>
      </c>
      <c r="I11">
        <v>45.11</v>
      </c>
      <c r="J11">
        <v>10.07</v>
      </c>
      <c r="K11">
        <v>230.25700000000001</v>
      </c>
      <c r="L11">
        <v>14.675000000000001</v>
      </c>
      <c r="M11">
        <v>52.374000000000002</v>
      </c>
      <c r="N11">
        <v>14.435</v>
      </c>
      <c r="O11">
        <v>0.93100000000000005</v>
      </c>
      <c r="P11">
        <v>2.6949999999999998</v>
      </c>
      <c r="Q11">
        <v>0</v>
      </c>
      <c r="R11">
        <v>40.226999999999997</v>
      </c>
      <c r="S11">
        <v>61.2</v>
      </c>
      <c r="T11">
        <v>20</v>
      </c>
    </row>
    <row r="12" spans="1:21" x14ac:dyDescent="0.3">
      <c r="A12" t="s">
        <v>338</v>
      </c>
      <c r="B12">
        <v>313.16199999999998</v>
      </c>
      <c r="C12">
        <v>100</v>
      </c>
      <c r="D12">
        <v>100</v>
      </c>
      <c r="E12">
        <v>0.52600000000000002</v>
      </c>
      <c r="F12">
        <v>82.024000000000001</v>
      </c>
      <c r="G12">
        <v>16.754000000000001</v>
      </c>
      <c r="H12">
        <v>106.74</v>
      </c>
      <c r="I12">
        <v>45.048000000000002</v>
      </c>
      <c r="J12">
        <v>10.079000000000001</v>
      </c>
      <c r="K12">
        <v>230.61799999999999</v>
      </c>
      <c r="L12">
        <v>14.707000000000001</v>
      </c>
      <c r="M12">
        <v>52.506</v>
      </c>
      <c r="N12">
        <v>14.446</v>
      </c>
      <c r="O12">
        <v>0.93500000000000005</v>
      </c>
      <c r="P12">
        <v>2.74</v>
      </c>
      <c r="Q12">
        <v>0</v>
      </c>
      <c r="R12">
        <v>40.661000000000001</v>
      </c>
      <c r="S12">
        <v>61.1</v>
      </c>
      <c r="T12">
        <v>20</v>
      </c>
    </row>
    <row r="13" spans="1:21" x14ac:dyDescent="0.3">
      <c r="A13" t="s">
        <v>339</v>
      </c>
      <c r="B13">
        <v>313.827</v>
      </c>
      <c r="C13">
        <v>100</v>
      </c>
      <c r="D13">
        <v>100</v>
      </c>
      <c r="E13">
        <v>0.60899999999999999</v>
      </c>
      <c r="F13">
        <v>81.801000000000002</v>
      </c>
      <c r="G13">
        <v>16.684000000000001</v>
      </c>
      <c r="H13">
        <v>107.19199999999999</v>
      </c>
      <c r="I13">
        <v>45.04</v>
      </c>
      <c r="J13">
        <v>10.074</v>
      </c>
      <c r="K13">
        <v>230.47</v>
      </c>
      <c r="L13">
        <v>14.522</v>
      </c>
      <c r="M13">
        <v>52.664000000000001</v>
      </c>
      <c r="N13">
        <v>14.422000000000001</v>
      </c>
      <c r="O13">
        <v>0.93500000000000005</v>
      </c>
      <c r="P13">
        <v>2.7509999999999999</v>
      </c>
      <c r="Q13">
        <v>0</v>
      </c>
      <c r="R13">
        <v>41.622999999999998</v>
      </c>
      <c r="S13">
        <v>61</v>
      </c>
      <c r="T13">
        <v>20</v>
      </c>
    </row>
    <row r="14" spans="1:21" x14ac:dyDescent="0.3">
      <c r="A14" t="s">
        <v>340</v>
      </c>
      <c r="B14">
        <v>314.43400000000003</v>
      </c>
      <c r="C14">
        <v>100</v>
      </c>
      <c r="D14">
        <v>100</v>
      </c>
      <c r="E14">
        <v>0.42599999999999999</v>
      </c>
      <c r="F14">
        <v>82.552999999999997</v>
      </c>
      <c r="G14">
        <v>16.623000000000001</v>
      </c>
      <c r="H14">
        <v>107.206</v>
      </c>
      <c r="I14">
        <v>44.978000000000002</v>
      </c>
      <c r="J14">
        <v>10.068</v>
      </c>
      <c r="K14">
        <v>230.38800000000001</v>
      </c>
      <c r="L14">
        <v>14.5</v>
      </c>
      <c r="M14">
        <v>52.564</v>
      </c>
      <c r="N14">
        <v>14.429</v>
      </c>
      <c r="O14">
        <v>0.94799999999999995</v>
      </c>
      <c r="P14">
        <v>2.714</v>
      </c>
      <c r="Q14">
        <v>0</v>
      </c>
      <c r="R14">
        <v>41.570999999999998</v>
      </c>
      <c r="S14">
        <v>61</v>
      </c>
      <c r="T14">
        <v>20</v>
      </c>
    </row>
    <row r="15" spans="1:21" x14ac:dyDescent="0.3">
      <c r="A15" t="s">
        <v>341</v>
      </c>
      <c r="B15">
        <v>313.51499999999999</v>
      </c>
      <c r="C15">
        <v>100</v>
      </c>
      <c r="D15">
        <v>100</v>
      </c>
      <c r="E15">
        <v>0.41199999999999998</v>
      </c>
      <c r="F15">
        <v>82.218000000000004</v>
      </c>
      <c r="G15">
        <v>17.193000000000001</v>
      </c>
      <c r="H15">
        <v>106.224</v>
      </c>
      <c r="I15">
        <v>45.134</v>
      </c>
      <c r="J15">
        <v>10.071</v>
      </c>
      <c r="K15">
        <v>230.15799999999999</v>
      </c>
      <c r="L15">
        <v>14.489000000000001</v>
      </c>
      <c r="M15">
        <v>52.482999999999997</v>
      </c>
      <c r="N15">
        <v>14.430999999999999</v>
      </c>
      <c r="O15">
        <v>0.92800000000000005</v>
      </c>
      <c r="P15">
        <v>2.7170000000000001</v>
      </c>
      <c r="Q15">
        <v>0</v>
      </c>
      <c r="R15">
        <v>40.307000000000002</v>
      </c>
      <c r="S15">
        <v>61</v>
      </c>
      <c r="T15">
        <v>20</v>
      </c>
    </row>
    <row r="16" spans="1:21" x14ac:dyDescent="0.3">
      <c r="A16" t="s">
        <v>342</v>
      </c>
      <c r="B16">
        <v>312.99</v>
      </c>
      <c r="C16">
        <v>100</v>
      </c>
      <c r="D16">
        <v>100</v>
      </c>
      <c r="E16">
        <v>0.46500000000000002</v>
      </c>
      <c r="F16">
        <v>82.212000000000003</v>
      </c>
      <c r="G16">
        <v>16.632999999999999</v>
      </c>
      <c r="H16">
        <v>106.633</v>
      </c>
      <c r="I16">
        <v>45.338999999999999</v>
      </c>
      <c r="J16">
        <v>10.071999999999999</v>
      </c>
      <c r="K16">
        <v>230.404</v>
      </c>
      <c r="L16">
        <v>14.497999999999999</v>
      </c>
      <c r="M16">
        <v>52.392000000000003</v>
      </c>
      <c r="N16">
        <v>14.422000000000001</v>
      </c>
      <c r="O16">
        <v>0.95299999999999996</v>
      </c>
      <c r="P16">
        <v>2.7109999999999999</v>
      </c>
      <c r="Q16">
        <v>0</v>
      </c>
      <c r="R16">
        <v>40.420999999999999</v>
      </c>
      <c r="S16">
        <v>61</v>
      </c>
      <c r="T16">
        <v>20</v>
      </c>
    </row>
    <row r="17" spans="1:20" x14ac:dyDescent="0.3">
      <c r="A17" t="s">
        <v>343</v>
      </c>
      <c r="B17">
        <v>313.72000000000003</v>
      </c>
      <c r="C17">
        <v>100</v>
      </c>
      <c r="D17">
        <v>100</v>
      </c>
      <c r="E17">
        <v>0.54900000000000004</v>
      </c>
      <c r="F17">
        <v>80.852000000000004</v>
      </c>
      <c r="G17">
        <v>16.899999999999999</v>
      </c>
      <c r="H17">
        <v>107.074</v>
      </c>
      <c r="I17">
        <v>45.52</v>
      </c>
      <c r="J17">
        <v>10.07</v>
      </c>
      <c r="K17">
        <v>230.02699999999999</v>
      </c>
      <c r="L17">
        <v>14.532</v>
      </c>
      <c r="M17">
        <v>52.661999999999999</v>
      </c>
      <c r="N17">
        <v>14.436</v>
      </c>
      <c r="O17">
        <v>0.94499999999999995</v>
      </c>
      <c r="P17">
        <v>2.7269999999999999</v>
      </c>
      <c r="Q17">
        <v>0</v>
      </c>
      <c r="R17">
        <v>41.436999999999998</v>
      </c>
      <c r="S17">
        <v>60.9</v>
      </c>
      <c r="T17">
        <v>20</v>
      </c>
    </row>
    <row r="18" spans="1:20" x14ac:dyDescent="0.3">
      <c r="A18" t="s">
        <v>344</v>
      </c>
      <c r="B18">
        <v>315.10899999999998</v>
      </c>
      <c r="C18">
        <v>100</v>
      </c>
      <c r="D18">
        <v>100</v>
      </c>
      <c r="E18">
        <v>0.40600000000000003</v>
      </c>
      <c r="F18">
        <v>81.695999999999998</v>
      </c>
      <c r="G18">
        <v>16.422000000000001</v>
      </c>
      <c r="H18">
        <v>106.986</v>
      </c>
      <c r="I18">
        <v>45.311</v>
      </c>
      <c r="J18">
        <v>10.074</v>
      </c>
      <c r="K18">
        <v>230.50299999999999</v>
      </c>
      <c r="L18">
        <v>14.503</v>
      </c>
      <c r="M18">
        <v>52.722999999999999</v>
      </c>
      <c r="N18">
        <v>14.42</v>
      </c>
      <c r="O18">
        <v>0.94299999999999995</v>
      </c>
      <c r="P18">
        <v>2.7069999999999999</v>
      </c>
      <c r="Q18">
        <v>0</v>
      </c>
      <c r="R18">
        <v>41.155000000000001</v>
      </c>
      <c r="S18">
        <v>60.9</v>
      </c>
      <c r="T18">
        <v>20</v>
      </c>
    </row>
    <row r="19" spans="1:20" x14ac:dyDescent="0.3">
      <c r="A19" t="s">
        <v>345</v>
      </c>
      <c r="B19">
        <v>314.262</v>
      </c>
      <c r="C19">
        <v>100</v>
      </c>
      <c r="D19">
        <v>100</v>
      </c>
      <c r="E19">
        <v>0.49399999999999999</v>
      </c>
      <c r="F19">
        <v>81.337999999999994</v>
      </c>
      <c r="G19">
        <v>16.73</v>
      </c>
      <c r="H19">
        <v>106.61499999999999</v>
      </c>
      <c r="I19">
        <v>44.985999999999997</v>
      </c>
      <c r="J19">
        <v>10.069000000000001</v>
      </c>
      <c r="K19">
        <v>230.17400000000001</v>
      </c>
      <c r="L19">
        <v>14.728999999999999</v>
      </c>
      <c r="M19">
        <v>52.384</v>
      </c>
      <c r="N19">
        <v>14.423</v>
      </c>
      <c r="O19">
        <v>0.94799999999999995</v>
      </c>
      <c r="P19">
        <v>2.7229999999999999</v>
      </c>
      <c r="Q19">
        <v>0</v>
      </c>
      <c r="R19">
        <v>40.563000000000002</v>
      </c>
      <c r="S19">
        <v>61.1</v>
      </c>
      <c r="T19">
        <v>20</v>
      </c>
    </row>
    <row r="20" spans="1:20" x14ac:dyDescent="0.3">
      <c r="A20" t="s">
        <v>346</v>
      </c>
      <c r="B20">
        <v>313.11</v>
      </c>
      <c r="C20">
        <v>100</v>
      </c>
      <c r="D20">
        <v>100</v>
      </c>
      <c r="E20">
        <v>0.47699999999999998</v>
      </c>
      <c r="F20">
        <v>80.861000000000004</v>
      </c>
      <c r="G20">
        <v>16.527999999999999</v>
      </c>
      <c r="H20">
        <v>106.157</v>
      </c>
      <c r="I20">
        <v>45.100999999999999</v>
      </c>
      <c r="J20">
        <v>10.077999999999999</v>
      </c>
      <c r="K20">
        <v>230.55199999999999</v>
      </c>
      <c r="L20">
        <v>14.738</v>
      </c>
      <c r="M20">
        <v>52.42</v>
      </c>
      <c r="N20">
        <v>14.428000000000001</v>
      </c>
      <c r="O20">
        <v>0.94199999999999995</v>
      </c>
      <c r="P20">
        <v>2.72</v>
      </c>
      <c r="Q20">
        <v>0</v>
      </c>
      <c r="R20">
        <v>40.247</v>
      </c>
      <c r="S20">
        <v>61</v>
      </c>
      <c r="T20">
        <v>20</v>
      </c>
    </row>
    <row r="21" spans="1:20" x14ac:dyDescent="0.3">
      <c r="A21" t="s">
        <v>347</v>
      </c>
      <c r="B21">
        <v>314.07900000000001</v>
      </c>
      <c r="C21">
        <v>100</v>
      </c>
      <c r="D21">
        <v>100</v>
      </c>
      <c r="E21">
        <v>0.52900000000000003</v>
      </c>
      <c r="F21">
        <v>81.347999999999999</v>
      </c>
      <c r="G21">
        <v>16.524000000000001</v>
      </c>
      <c r="H21">
        <v>107.07599999999999</v>
      </c>
      <c r="I21">
        <v>45.023000000000003</v>
      </c>
      <c r="J21">
        <v>10.074</v>
      </c>
      <c r="K21">
        <v>230.142</v>
      </c>
      <c r="L21">
        <v>14.494</v>
      </c>
      <c r="M21">
        <v>52.777999999999999</v>
      </c>
      <c r="N21">
        <v>14.425000000000001</v>
      </c>
      <c r="O21">
        <v>0.95799999999999996</v>
      </c>
      <c r="P21">
        <v>2.7269999999999999</v>
      </c>
      <c r="Q21">
        <v>0</v>
      </c>
      <c r="R21">
        <v>41.338000000000001</v>
      </c>
      <c r="S21">
        <v>61</v>
      </c>
      <c r="T21">
        <v>20</v>
      </c>
    </row>
    <row r="22" spans="1:20" x14ac:dyDescent="0.3">
      <c r="A22" t="s">
        <v>348</v>
      </c>
      <c r="B22">
        <v>314.80200000000002</v>
      </c>
      <c r="C22">
        <v>100</v>
      </c>
      <c r="D22">
        <v>100</v>
      </c>
      <c r="E22">
        <v>0.43</v>
      </c>
      <c r="F22">
        <v>81.117999999999995</v>
      </c>
      <c r="G22">
        <v>17.137</v>
      </c>
      <c r="H22">
        <v>107.024</v>
      </c>
      <c r="I22">
        <v>45.2</v>
      </c>
      <c r="J22">
        <v>10.077</v>
      </c>
      <c r="K22">
        <v>230.38800000000001</v>
      </c>
      <c r="L22">
        <v>14.512</v>
      </c>
      <c r="M22">
        <v>52.664000000000001</v>
      </c>
      <c r="N22">
        <v>14.423</v>
      </c>
      <c r="O22">
        <v>0.95699999999999996</v>
      </c>
      <c r="P22">
        <v>2.7240000000000002</v>
      </c>
      <c r="Q22">
        <v>0</v>
      </c>
      <c r="R22">
        <v>41.320999999999998</v>
      </c>
      <c r="S22">
        <v>61</v>
      </c>
      <c r="T22">
        <v>20</v>
      </c>
    </row>
    <row r="23" spans="1:20" x14ac:dyDescent="0.3">
      <c r="A23" t="s">
        <v>349</v>
      </c>
      <c r="B23">
        <v>313.89800000000002</v>
      </c>
      <c r="C23">
        <v>100</v>
      </c>
      <c r="D23">
        <v>100</v>
      </c>
      <c r="E23">
        <v>0.51300000000000001</v>
      </c>
      <c r="F23">
        <v>80.617999999999995</v>
      </c>
      <c r="G23">
        <v>16.867999999999999</v>
      </c>
      <c r="H23">
        <v>106.627</v>
      </c>
      <c r="I23">
        <v>45.426000000000002</v>
      </c>
      <c r="J23">
        <v>10.064</v>
      </c>
      <c r="K23">
        <v>230.10900000000001</v>
      </c>
      <c r="L23">
        <v>14.71</v>
      </c>
      <c r="M23">
        <v>52.533999999999999</v>
      </c>
      <c r="N23">
        <v>14.43</v>
      </c>
      <c r="O23">
        <v>0.95599999999999996</v>
      </c>
      <c r="P23">
        <v>2.7269999999999999</v>
      </c>
      <c r="Q23">
        <v>0</v>
      </c>
      <c r="R23">
        <v>40.581000000000003</v>
      </c>
      <c r="S23">
        <v>61.1</v>
      </c>
      <c r="T23">
        <v>20</v>
      </c>
    </row>
    <row r="24" spans="1:20" x14ac:dyDescent="0.3">
      <c r="A24" t="s">
        <v>350</v>
      </c>
      <c r="B24">
        <v>313.97699999999998</v>
      </c>
      <c r="C24">
        <v>100</v>
      </c>
      <c r="D24">
        <v>100</v>
      </c>
      <c r="E24">
        <v>0.55600000000000005</v>
      </c>
      <c r="F24">
        <v>81.478999999999999</v>
      </c>
      <c r="G24">
        <v>17.02</v>
      </c>
      <c r="H24">
        <v>106.042</v>
      </c>
      <c r="I24">
        <v>45.396999999999998</v>
      </c>
      <c r="J24">
        <v>10.077</v>
      </c>
      <c r="K24">
        <v>230.404</v>
      </c>
      <c r="L24">
        <v>14.518000000000001</v>
      </c>
      <c r="M24">
        <v>52.497999999999998</v>
      </c>
      <c r="N24">
        <v>14.430999999999999</v>
      </c>
      <c r="O24">
        <v>0.95099999999999996</v>
      </c>
      <c r="P24">
        <v>2.72</v>
      </c>
      <c r="Q24">
        <v>0</v>
      </c>
      <c r="R24">
        <v>40.161000000000001</v>
      </c>
      <c r="S24">
        <v>61.1</v>
      </c>
      <c r="T24">
        <v>20</v>
      </c>
    </row>
    <row r="25" spans="1:20" ht="15" thickBot="1" x14ac:dyDescent="0.35">
      <c r="A25" t="s">
        <v>351</v>
      </c>
      <c r="B25">
        <v>313.84300000000002</v>
      </c>
      <c r="C25">
        <v>100</v>
      </c>
      <c r="D25">
        <v>100</v>
      </c>
      <c r="E25">
        <v>0.48199999999999998</v>
      </c>
      <c r="F25">
        <v>80.497</v>
      </c>
      <c r="G25">
        <v>16.954999999999998</v>
      </c>
      <c r="H25">
        <v>106.402</v>
      </c>
      <c r="I25">
        <v>45.319000000000003</v>
      </c>
      <c r="J25">
        <v>10.069000000000001</v>
      </c>
      <c r="K25">
        <v>230.059</v>
      </c>
      <c r="L25">
        <v>14.497</v>
      </c>
      <c r="M25">
        <v>52.497999999999998</v>
      </c>
      <c r="N25">
        <v>14.433</v>
      </c>
      <c r="O25">
        <v>0.94599999999999995</v>
      </c>
      <c r="P25">
        <v>2.7250000000000001</v>
      </c>
      <c r="Q25">
        <v>0</v>
      </c>
      <c r="R25">
        <v>40.594999999999999</v>
      </c>
      <c r="S25">
        <v>61</v>
      </c>
      <c r="T25">
        <v>20</v>
      </c>
    </row>
    <row r="26" spans="1:20" ht="15" thickBot="1" x14ac:dyDescent="0.35">
      <c r="A26" t="s">
        <v>0</v>
      </c>
      <c r="B26" s="1">
        <f t="shared" ref="B26:S26" si="0">AVERAGE(B6:B25)</f>
        <v>313.87894999999997</v>
      </c>
      <c r="C26" s="1">
        <f t="shared" si="0"/>
        <v>100</v>
      </c>
      <c r="D26" s="1">
        <f t="shared" si="0"/>
        <v>100</v>
      </c>
      <c r="E26" s="10">
        <f t="shared" si="0"/>
        <v>0.50235000000000007</v>
      </c>
      <c r="F26" s="1">
        <f t="shared" si="0"/>
        <v>81.538399999999996</v>
      </c>
      <c r="G26" s="1">
        <f t="shared" si="0"/>
        <v>16.634999999999998</v>
      </c>
      <c r="H26" s="10">
        <f t="shared" si="0"/>
        <v>106.68855000000001</v>
      </c>
      <c r="I26" s="1">
        <f t="shared" si="0"/>
        <v>45.214850000000013</v>
      </c>
      <c r="J26" s="8">
        <f t="shared" si="0"/>
        <v>10.072099999999999</v>
      </c>
      <c r="K26" s="1">
        <f t="shared" si="0"/>
        <v>230.31979999999999</v>
      </c>
      <c r="L26" s="1">
        <f t="shared" si="0"/>
        <v>14.592949999999998</v>
      </c>
      <c r="M26" s="1">
        <f t="shared" si="0"/>
        <v>52.54825000000001</v>
      </c>
      <c r="N26" s="1">
        <f t="shared" si="0"/>
        <v>14.43005</v>
      </c>
      <c r="O26" s="1">
        <f t="shared" si="0"/>
        <v>0.94690000000000007</v>
      </c>
      <c r="P26" s="1">
        <f t="shared" si="0"/>
        <v>2.7224999999999993</v>
      </c>
      <c r="Q26" s="1">
        <f t="shared" si="0"/>
        <v>0</v>
      </c>
      <c r="R26" s="1">
        <f t="shared" si="0"/>
        <v>40.81750000000001</v>
      </c>
      <c r="S26" s="1">
        <f t="shared" si="0"/>
        <v>61.034999999999989</v>
      </c>
      <c r="T26" s="8">
        <f>AVERAGE(T6:T25)</f>
        <v>20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1.7755999999999992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11AC-392D-4395-87E7-0F73C916C099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0.44505787037037037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59.82511817293242</v>
      </c>
      <c r="M2" s="8">
        <f>(H26*0.001*60)*(K2/100)*(G2/I2)</f>
        <v>2.9531990143654561</v>
      </c>
      <c r="O2" s="9">
        <f>100*((E26*C2)/((E26*C2)+(M2*E2)))</f>
        <v>13.241385585645189</v>
      </c>
      <c r="Q2" s="10">
        <f>100*J26*(1/(((C2/3.6)*E26)+((E2/3.6)*M2)))</f>
        <v>24.912844655245827</v>
      </c>
      <c r="S2" s="6">
        <v>3.54</v>
      </c>
      <c r="U2" s="10">
        <f>100*((((G26*0.001*60)*(C26-D26)*(S2/3.6)))/(((C2/3.6)*E26)+((E2/3.6)*M2)))</f>
        <v>0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352</v>
      </c>
      <c r="B6">
        <v>348.35500000000002</v>
      </c>
      <c r="C6">
        <v>100</v>
      </c>
      <c r="D6">
        <v>100</v>
      </c>
      <c r="E6">
        <v>0.438</v>
      </c>
      <c r="F6">
        <v>84.17</v>
      </c>
      <c r="G6">
        <v>27.952000000000002</v>
      </c>
      <c r="H6">
        <v>114.761</v>
      </c>
      <c r="I6">
        <v>44.884</v>
      </c>
      <c r="J6">
        <v>11.781000000000001</v>
      </c>
      <c r="K6">
        <v>230.42099999999999</v>
      </c>
      <c r="L6">
        <v>17.16</v>
      </c>
      <c r="M6">
        <v>52.527999999999999</v>
      </c>
      <c r="N6">
        <v>16.948</v>
      </c>
      <c r="O6">
        <v>0.98599999999999999</v>
      </c>
      <c r="P6">
        <v>2.6030000000000002</v>
      </c>
      <c r="Q6">
        <v>0</v>
      </c>
      <c r="R6">
        <v>44.079000000000001</v>
      </c>
      <c r="S6">
        <v>65.8</v>
      </c>
      <c r="T6">
        <v>24.8</v>
      </c>
    </row>
    <row r="7" spans="1:21" x14ac:dyDescent="0.3">
      <c r="A7" t="s">
        <v>353</v>
      </c>
      <c r="B7">
        <v>348.29199999999997</v>
      </c>
      <c r="C7">
        <v>100</v>
      </c>
      <c r="D7">
        <v>100</v>
      </c>
      <c r="E7">
        <v>0.47</v>
      </c>
      <c r="F7">
        <v>84.055000000000007</v>
      </c>
      <c r="G7">
        <v>28.234000000000002</v>
      </c>
      <c r="H7">
        <v>114.67400000000001</v>
      </c>
      <c r="I7">
        <v>44.44</v>
      </c>
      <c r="J7">
        <v>11.792</v>
      </c>
      <c r="K7">
        <v>230.76599999999999</v>
      </c>
      <c r="L7">
        <v>17.175999999999998</v>
      </c>
      <c r="M7">
        <v>52.451000000000001</v>
      </c>
      <c r="N7">
        <v>16.951000000000001</v>
      </c>
      <c r="O7">
        <v>0.93500000000000005</v>
      </c>
      <c r="P7">
        <v>2.6070000000000002</v>
      </c>
      <c r="Q7">
        <v>0</v>
      </c>
      <c r="R7">
        <v>44.012999999999998</v>
      </c>
      <c r="S7">
        <v>65.7</v>
      </c>
      <c r="T7">
        <v>24.8</v>
      </c>
    </row>
    <row r="8" spans="1:21" x14ac:dyDescent="0.3">
      <c r="A8" t="s">
        <v>354</v>
      </c>
      <c r="B8">
        <v>349.29399999999998</v>
      </c>
      <c r="C8">
        <v>100</v>
      </c>
      <c r="D8">
        <v>100</v>
      </c>
      <c r="E8">
        <v>0.60199999999999998</v>
      </c>
      <c r="F8">
        <v>82.974000000000004</v>
      </c>
      <c r="G8">
        <v>27.571999999999999</v>
      </c>
      <c r="H8">
        <v>114.346</v>
      </c>
      <c r="I8">
        <v>44.476999999999997</v>
      </c>
      <c r="J8">
        <v>11.782</v>
      </c>
      <c r="K8">
        <v>230.25700000000001</v>
      </c>
      <c r="L8">
        <v>16.989999999999998</v>
      </c>
      <c r="M8">
        <v>52.542000000000002</v>
      </c>
      <c r="N8">
        <v>16.943000000000001</v>
      </c>
      <c r="O8">
        <v>0.96099999999999997</v>
      </c>
      <c r="P8">
        <v>2.601</v>
      </c>
      <c r="Q8">
        <v>0</v>
      </c>
      <c r="R8">
        <v>43.616999999999997</v>
      </c>
      <c r="S8">
        <v>65.7</v>
      </c>
      <c r="T8">
        <v>24.8</v>
      </c>
    </row>
    <row r="9" spans="1:21" x14ac:dyDescent="0.3">
      <c r="A9" t="s">
        <v>355</v>
      </c>
      <c r="B9">
        <v>350.33199999999999</v>
      </c>
      <c r="C9">
        <v>100</v>
      </c>
      <c r="D9">
        <v>100</v>
      </c>
      <c r="E9">
        <v>0.55200000000000005</v>
      </c>
      <c r="F9">
        <v>83.840999999999994</v>
      </c>
      <c r="G9">
        <v>28.408000000000001</v>
      </c>
      <c r="H9">
        <v>120.73699999999999</v>
      </c>
      <c r="I9">
        <v>42.502000000000002</v>
      </c>
      <c r="J9">
        <v>11.792</v>
      </c>
      <c r="K9">
        <v>230.667</v>
      </c>
      <c r="L9">
        <v>17.018000000000001</v>
      </c>
      <c r="M9">
        <v>52.51</v>
      </c>
      <c r="N9">
        <v>16.946999999999999</v>
      </c>
      <c r="O9">
        <v>0.95799999999999996</v>
      </c>
      <c r="P9">
        <v>2.59</v>
      </c>
      <c r="Q9">
        <v>0</v>
      </c>
      <c r="R9">
        <v>44.738999999999997</v>
      </c>
      <c r="S9">
        <v>65.599999999999994</v>
      </c>
      <c r="T9">
        <v>24.8</v>
      </c>
    </row>
    <row r="10" spans="1:21" x14ac:dyDescent="0.3">
      <c r="A10" t="s">
        <v>356</v>
      </c>
      <c r="B10">
        <v>349.755</v>
      </c>
      <c r="C10">
        <v>100</v>
      </c>
      <c r="D10">
        <v>100</v>
      </c>
      <c r="E10">
        <v>0.53500000000000003</v>
      </c>
      <c r="F10">
        <v>83.748999999999995</v>
      </c>
      <c r="G10">
        <v>28.562999999999999</v>
      </c>
      <c r="H10">
        <v>115.575</v>
      </c>
      <c r="I10">
        <v>44.332999999999998</v>
      </c>
      <c r="J10">
        <v>11.781000000000001</v>
      </c>
      <c r="K10">
        <v>230.20699999999999</v>
      </c>
      <c r="L10">
        <v>16.994</v>
      </c>
      <c r="M10">
        <v>52.627000000000002</v>
      </c>
      <c r="N10">
        <v>16.954000000000001</v>
      </c>
      <c r="O10">
        <v>0.98199999999999998</v>
      </c>
      <c r="P10">
        <v>2.593</v>
      </c>
      <c r="Q10">
        <v>0</v>
      </c>
      <c r="R10">
        <v>44.87</v>
      </c>
      <c r="S10">
        <v>65.7</v>
      </c>
      <c r="T10">
        <v>24.8</v>
      </c>
    </row>
    <row r="11" spans="1:21" x14ac:dyDescent="0.3">
      <c r="A11" t="s">
        <v>357</v>
      </c>
      <c r="B11">
        <v>350.26100000000002</v>
      </c>
      <c r="C11">
        <v>100</v>
      </c>
      <c r="D11">
        <v>100</v>
      </c>
      <c r="E11">
        <v>0.40300000000000002</v>
      </c>
      <c r="F11">
        <v>84.521000000000001</v>
      </c>
      <c r="G11">
        <v>28.774999999999999</v>
      </c>
      <c r="H11">
        <v>115.377</v>
      </c>
      <c r="I11">
        <v>44.854999999999997</v>
      </c>
      <c r="J11">
        <v>11.785</v>
      </c>
      <c r="K11">
        <v>230.50299999999999</v>
      </c>
      <c r="L11">
        <v>17.131</v>
      </c>
      <c r="M11">
        <v>52.368000000000002</v>
      </c>
      <c r="N11">
        <v>16.948</v>
      </c>
      <c r="O11">
        <v>0.96199999999999997</v>
      </c>
      <c r="P11">
        <v>2.61</v>
      </c>
      <c r="Q11">
        <v>0</v>
      </c>
      <c r="R11">
        <v>44.247</v>
      </c>
      <c r="S11">
        <v>65.8</v>
      </c>
      <c r="T11">
        <v>24.8</v>
      </c>
    </row>
    <row r="12" spans="1:21" x14ac:dyDescent="0.3">
      <c r="A12" t="s">
        <v>358</v>
      </c>
      <c r="B12">
        <v>349.24599999999998</v>
      </c>
      <c r="C12">
        <v>100</v>
      </c>
      <c r="D12">
        <v>100</v>
      </c>
      <c r="E12">
        <v>0.54300000000000004</v>
      </c>
      <c r="F12">
        <v>84.311000000000007</v>
      </c>
      <c r="G12">
        <v>27.962</v>
      </c>
      <c r="H12">
        <v>114.779</v>
      </c>
      <c r="I12">
        <v>44.399000000000001</v>
      </c>
      <c r="J12">
        <v>11.782999999999999</v>
      </c>
      <c r="K12">
        <v>230.47</v>
      </c>
      <c r="L12">
        <v>17.117999999999999</v>
      </c>
      <c r="M12">
        <v>52.320999999999998</v>
      </c>
      <c r="N12">
        <v>16.946999999999999</v>
      </c>
      <c r="O12">
        <v>0.94199999999999995</v>
      </c>
      <c r="P12">
        <v>2.6179999999999999</v>
      </c>
      <c r="Q12">
        <v>0</v>
      </c>
      <c r="R12">
        <v>43.715000000000003</v>
      </c>
      <c r="S12">
        <v>65.599999999999994</v>
      </c>
      <c r="T12">
        <v>24.8</v>
      </c>
    </row>
    <row r="13" spans="1:21" x14ac:dyDescent="0.3">
      <c r="A13" t="s">
        <v>359</v>
      </c>
      <c r="B13">
        <v>348.28199999999998</v>
      </c>
      <c r="C13">
        <v>100</v>
      </c>
      <c r="D13">
        <v>100</v>
      </c>
      <c r="E13">
        <v>0.58599999999999997</v>
      </c>
      <c r="F13">
        <v>84.228999999999999</v>
      </c>
      <c r="G13">
        <v>28.591000000000001</v>
      </c>
      <c r="H13">
        <v>114.486</v>
      </c>
      <c r="I13">
        <v>44.494</v>
      </c>
      <c r="J13">
        <v>11.791</v>
      </c>
      <c r="K13">
        <v>230.58500000000001</v>
      </c>
      <c r="L13">
        <v>17.032</v>
      </c>
      <c r="M13">
        <v>52.375999999999998</v>
      </c>
      <c r="N13">
        <v>16.925999999999998</v>
      </c>
      <c r="O13">
        <v>0.95699999999999996</v>
      </c>
      <c r="P13">
        <v>2.6160000000000001</v>
      </c>
      <c r="Q13">
        <v>0</v>
      </c>
      <c r="R13">
        <v>43.707999999999998</v>
      </c>
      <c r="S13">
        <v>65.599999999999994</v>
      </c>
      <c r="T13">
        <v>24.8</v>
      </c>
    </row>
    <row r="14" spans="1:21" x14ac:dyDescent="0.3">
      <c r="A14" t="s">
        <v>360</v>
      </c>
      <c r="B14">
        <v>349.65899999999999</v>
      </c>
      <c r="C14">
        <v>100</v>
      </c>
      <c r="D14">
        <v>100</v>
      </c>
      <c r="E14">
        <v>0.54800000000000004</v>
      </c>
      <c r="F14">
        <v>82.99</v>
      </c>
      <c r="G14">
        <v>28.128</v>
      </c>
      <c r="H14">
        <v>114.72499999999999</v>
      </c>
      <c r="I14">
        <v>44.756</v>
      </c>
      <c r="J14">
        <v>11.78</v>
      </c>
      <c r="K14">
        <v>230.17400000000001</v>
      </c>
      <c r="L14">
        <v>17.012</v>
      </c>
      <c r="M14">
        <v>52.707000000000001</v>
      </c>
      <c r="N14">
        <v>16.948</v>
      </c>
      <c r="O14">
        <v>0.95699999999999996</v>
      </c>
      <c r="P14">
        <v>2.6080000000000001</v>
      </c>
      <c r="Q14">
        <v>0</v>
      </c>
      <c r="R14">
        <v>44.029000000000003</v>
      </c>
      <c r="S14">
        <v>65.7</v>
      </c>
      <c r="T14">
        <v>24.8</v>
      </c>
    </row>
    <row r="15" spans="1:21" x14ac:dyDescent="0.3">
      <c r="A15" t="s">
        <v>361</v>
      </c>
      <c r="B15">
        <v>350.08600000000001</v>
      </c>
      <c r="C15">
        <v>100</v>
      </c>
      <c r="D15">
        <v>100</v>
      </c>
      <c r="E15">
        <v>0.433</v>
      </c>
      <c r="F15">
        <v>82.875</v>
      </c>
      <c r="G15">
        <v>28.169</v>
      </c>
      <c r="H15">
        <v>115.23099999999999</v>
      </c>
      <c r="I15">
        <v>44.362000000000002</v>
      </c>
      <c r="J15">
        <v>11.792999999999999</v>
      </c>
      <c r="K15">
        <v>230.51900000000001</v>
      </c>
      <c r="L15">
        <v>17.023</v>
      </c>
      <c r="M15">
        <v>52.616999999999997</v>
      </c>
      <c r="N15">
        <v>16.954000000000001</v>
      </c>
      <c r="O15">
        <v>0.95199999999999996</v>
      </c>
      <c r="P15">
        <v>2.5990000000000002</v>
      </c>
      <c r="Q15">
        <v>0</v>
      </c>
      <c r="R15">
        <v>44.462000000000003</v>
      </c>
      <c r="S15">
        <v>65.599999999999994</v>
      </c>
      <c r="T15">
        <v>24.8</v>
      </c>
    </row>
    <row r="16" spans="1:21" x14ac:dyDescent="0.3">
      <c r="A16" t="s">
        <v>362</v>
      </c>
      <c r="B16">
        <v>349.233</v>
      </c>
      <c r="C16">
        <v>100</v>
      </c>
      <c r="D16">
        <v>100</v>
      </c>
      <c r="E16">
        <v>0.39400000000000002</v>
      </c>
      <c r="F16">
        <v>84.188999999999993</v>
      </c>
      <c r="G16">
        <v>28.86</v>
      </c>
      <c r="H16">
        <v>115.029</v>
      </c>
      <c r="I16">
        <v>44.777000000000001</v>
      </c>
      <c r="J16">
        <v>11.782999999999999</v>
      </c>
      <c r="K16">
        <v>230.45400000000001</v>
      </c>
      <c r="L16">
        <v>17.122</v>
      </c>
      <c r="M16">
        <v>52.524000000000001</v>
      </c>
      <c r="N16">
        <v>16.954000000000001</v>
      </c>
      <c r="O16">
        <v>0.95499999999999996</v>
      </c>
      <c r="P16">
        <v>2.61</v>
      </c>
      <c r="Q16">
        <v>0</v>
      </c>
      <c r="R16">
        <v>44.115000000000002</v>
      </c>
      <c r="S16">
        <v>65.8</v>
      </c>
      <c r="T16">
        <v>24.8</v>
      </c>
    </row>
    <row r="17" spans="1:20" x14ac:dyDescent="0.3">
      <c r="A17" t="s">
        <v>363</v>
      </c>
      <c r="B17">
        <v>349.23200000000003</v>
      </c>
      <c r="C17">
        <v>100</v>
      </c>
      <c r="D17">
        <v>100</v>
      </c>
      <c r="E17">
        <v>0.42099999999999999</v>
      </c>
      <c r="F17">
        <v>83.814999999999998</v>
      </c>
      <c r="G17">
        <v>28.800999999999998</v>
      </c>
      <c r="H17">
        <v>114.77800000000001</v>
      </c>
      <c r="I17">
        <v>44.357999999999997</v>
      </c>
      <c r="J17">
        <v>11.787000000000001</v>
      </c>
      <c r="K17">
        <v>230.38800000000001</v>
      </c>
      <c r="L17">
        <v>17.135000000000002</v>
      </c>
      <c r="M17">
        <v>52.363999999999997</v>
      </c>
      <c r="N17">
        <v>16.952999999999999</v>
      </c>
      <c r="O17">
        <v>0.95299999999999996</v>
      </c>
      <c r="P17">
        <v>2.617</v>
      </c>
      <c r="Q17">
        <v>0</v>
      </c>
      <c r="R17">
        <v>43.777000000000001</v>
      </c>
      <c r="S17">
        <v>65.8</v>
      </c>
      <c r="T17">
        <v>24.8</v>
      </c>
    </row>
    <row r="18" spans="1:20" x14ac:dyDescent="0.3">
      <c r="A18" t="s">
        <v>364</v>
      </c>
      <c r="B18">
        <v>349.76799999999997</v>
      </c>
      <c r="C18">
        <v>100</v>
      </c>
      <c r="D18">
        <v>100</v>
      </c>
      <c r="E18">
        <v>0.59899999999999998</v>
      </c>
      <c r="F18">
        <v>83.433999999999997</v>
      </c>
      <c r="G18">
        <v>28.832000000000001</v>
      </c>
      <c r="H18">
        <v>114.265</v>
      </c>
      <c r="I18">
        <v>44.518000000000001</v>
      </c>
      <c r="J18">
        <v>11.779</v>
      </c>
      <c r="K18">
        <v>230.30600000000001</v>
      </c>
      <c r="L18">
        <v>16.997</v>
      </c>
      <c r="M18">
        <v>52.487000000000002</v>
      </c>
      <c r="N18">
        <v>16.95</v>
      </c>
      <c r="O18">
        <v>0.97299999999999998</v>
      </c>
      <c r="P18">
        <v>2.605</v>
      </c>
      <c r="Q18">
        <v>0</v>
      </c>
      <c r="R18">
        <v>43.432000000000002</v>
      </c>
      <c r="S18">
        <v>65.599999999999994</v>
      </c>
      <c r="T18">
        <v>24.8</v>
      </c>
    </row>
    <row r="19" spans="1:20" x14ac:dyDescent="0.3">
      <c r="A19" t="s">
        <v>365</v>
      </c>
      <c r="B19">
        <v>349.822</v>
      </c>
      <c r="C19">
        <v>100</v>
      </c>
      <c r="D19">
        <v>100</v>
      </c>
      <c r="E19">
        <v>0.69799999999999995</v>
      </c>
      <c r="F19">
        <v>83.414000000000001</v>
      </c>
      <c r="G19">
        <v>29.026</v>
      </c>
      <c r="H19">
        <v>114.953</v>
      </c>
      <c r="I19">
        <v>44.710999999999999</v>
      </c>
      <c r="J19">
        <v>11.787000000000001</v>
      </c>
      <c r="K19">
        <v>230.50299999999999</v>
      </c>
      <c r="L19">
        <v>17</v>
      </c>
      <c r="M19">
        <v>52.531999999999996</v>
      </c>
      <c r="N19">
        <v>16.949000000000002</v>
      </c>
      <c r="O19">
        <v>0.95299999999999996</v>
      </c>
      <c r="P19">
        <v>2.6040000000000001</v>
      </c>
      <c r="Q19">
        <v>0</v>
      </c>
      <c r="R19">
        <v>44.252000000000002</v>
      </c>
      <c r="S19">
        <v>65.7</v>
      </c>
      <c r="T19">
        <v>24.8</v>
      </c>
    </row>
    <row r="20" spans="1:20" x14ac:dyDescent="0.3">
      <c r="A20" t="s">
        <v>366</v>
      </c>
      <c r="B20">
        <v>350.661</v>
      </c>
      <c r="C20">
        <v>100</v>
      </c>
      <c r="D20">
        <v>100</v>
      </c>
      <c r="E20">
        <v>0.58299999999999996</v>
      </c>
      <c r="F20">
        <v>84.524000000000001</v>
      </c>
      <c r="G20">
        <v>29.378</v>
      </c>
      <c r="H20">
        <v>115.434</v>
      </c>
      <c r="I20">
        <v>44.308999999999997</v>
      </c>
      <c r="J20">
        <v>11.775</v>
      </c>
      <c r="K20">
        <v>230.273</v>
      </c>
      <c r="L20">
        <v>16.989999999999998</v>
      </c>
      <c r="M20">
        <v>52.604999999999997</v>
      </c>
      <c r="N20">
        <v>16.943000000000001</v>
      </c>
      <c r="O20">
        <v>0.96</v>
      </c>
      <c r="P20">
        <v>2.59</v>
      </c>
      <c r="Q20">
        <v>0</v>
      </c>
      <c r="R20">
        <v>44.945</v>
      </c>
      <c r="S20">
        <v>65.7</v>
      </c>
      <c r="T20">
        <v>24.8</v>
      </c>
    </row>
    <row r="21" spans="1:20" x14ac:dyDescent="0.3">
      <c r="A21" t="s">
        <v>367</v>
      </c>
      <c r="B21">
        <v>349.53899999999999</v>
      </c>
      <c r="C21">
        <v>100</v>
      </c>
      <c r="D21">
        <v>100</v>
      </c>
      <c r="E21">
        <v>0.41399999999999998</v>
      </c>
      <c r="F21">
        <v>84.13</v>
      </c>
      <c r="G21">
        <v>29.242999999999999</v>
      </c>
      <c r="H21">
        <v>115.232</v>
      </c>
      <c r="I21">
        <v>44.661999999999999</v>
      </c>
      <c r="J21">
        <v>11.788</v>
      </c>
      <c r="K21">
        <v>230.47</v>
      </c>
      <c r="L21">
        <v>16.997</v>
      </c>
      <c r="M21">
        <v>52.558</v>
      </c>
      <c r="N21">
        <v>16.95</v>
      </c>
      <c r="O21">
        <v>0.97799999999999998</v>
      </c>
      <c r="P21">
        <v>2.6059999999999999</v>
      </c>
      <c r="Q21">
        <v>0</v>
      </c>
      <c r="R21">
        <v>44.292999999999999</v>
      </c>
      <c r="S21">
        <v>65.900000000000006</v>
      </c>
      <c r="T21">
        <v>24.8</v>
      </c>
    </row>
    <row r="22" spans="1:20" x14ac:dyDescent="0.3">
      <c r="A22" t="s">
        <v>368</v>
      </c>
      <c r="B22">
        <v>349.08199999999999</v>
      </c>
      <c r="C22">
        <v>100</v>
      </c>
      <c r="D22">
        <v>100</v>
      </c>
      <c r="E22">
        <v>0.41499999999999998</v>
      </c>
      <c r="F22">
        <v>83.506</v>
      </c>
      <c r="G22">
        <v>29.207999999999998</v>
      </c>
      <c r="H22">
        <v>114.914</v>
      </c>
      <c r="I22">
        <v>44.488999999999997</v>
      </c>
      <c r="J22">
        <v>11.779</v>
      </c>
      <c r="K22">
        <v>230.28899999999999</v>
      </c>
      <c r="L22">
        <v>16.986999999999998</v>
      </c>
      <c r="M22">
        <v>52.372</v>
      </c>
      <c r="N22">
        <v>16.948</v>
      </c>
      <c r="O22">
        <v>0.96699999999999997</v>
      </c>
      <c r="P22">
        <v>2.6160000000000001</v>
      </c>
      <c r="Q22">
        <v>0</v>
      </c>
      <c r="R22">
        <v>44.009</v>
      </c>
      <c r="S22">
        <v>65.8</v>
      </c>
      <c r="T22">
        <v>24.8</v>
      </c>
    </row>
    <row r="23" spans="1:20" x14ac:dyDescent="0.3">
      <c r="A23" t="s">
        <v>369</v>
      </c>
      <c r="B23">
        <v>349.21600000000001</v>
      </c>
      <c r="C23">
        <v>100</v>
      </c>
      <c r="D23">
        <v>100</v>
      </c>
      <c r="E23">
        <v>0.63</v>
      </c>
      <c r="F23">
        <v>83.498999999999995</v>
      </c>
      <c r="G23">
        <v>29.093</v>
      </c>
      <c r="H23">
        <v>114.246</v>
      </c>
      <c r="I23">
        <v>44.42</v>
      </c>
      <c r="J23">
        <v>11.788</v>
      </c>
      <c r="K23">
        <v>230.404</v>
      </c>
      <c r="L23">
        <v>17.006</v>
      </c>
      <c r="M23">
        <v>52.469000000000001</v>
      </c>
      <c r="N23">
        <v>16.952000000000002</v>
      </c>
      <c r="O23">
        <v>0.97299999999999998</v>
      </c>
      <c r="P23">
        <v>2.5920000000000001</v>
      </c>
      <c r="Q23">
        <v>0</v>
      </c>
      <c r="R23">
        <v>43.335999999999999</v>
      </c>
      <c r="S23">
        <v>65.599999999999994</v>
      </c>
      <c r="T23">
        <v>24.8</v>
      </c>
    </row>
    <row r="24" spans="1:20" x14ac:dyDescent="0.3">
      <c r="A24" t="s">
        <v>370</v>
      </c>
      <c r="B24">
        <v>349.49200000000002</v>
      </c>
      <c r="C24">
        <v>100</v>
      </c>
      <c r="D24">
        <v>100</v>
      </c>
      <c r="E24">
        <v>0.67800000000000005</v>
      </c>
      <c r="F24">
        <v>83.965999999999994</v>
      </c>
      <c r="G24">
        <v>30.01</v>
      </c>
      <c r="H24">
        <v>114.736</v>
      </c>
      <c r="I24">
        <v>44.603999999999999</v>
      </c>
      <c r="J24">
        <v>11.786</v>
      </c>
      <c r="K24">
        <v>230.58500000000001</v>
      </c>
      <c r="L24">
        <v>17.158999999999999</v>
      </c>
      <c r="M24">
        <v>52.543999999999997</v>
      </c>
      <c r="N24">
        <v>16.954000000000001</v>
      </c>
      <c r="O24">
        <v>0.97599999999999998</v>
      </c>
      <c r="P24">
        <v>2.58</v>
      </c>
      <c r="Q24">
        <v>0</v>
      </c>
      <c r="R24">
        <v>44.027000000000001</v>
      </c>
      <c r="S24">
        <v>65.7</v>
      </c>
      <c r="T24">
        <v>24.8</v>
      </c>
    </row>
    <row r="25" spans="1:20" ht="15" thickBot="1" x14ac:dyDescent="0.35">
      <c r="A25" t="s">
        <v>371</v>
      </c>
      <c r="B25">
        <v>349.88600000000002</v>
      </c>
      <c r="C25">
        <v>100</v>
      </c>
      <c r="D25">
        <v>100</v>
      </c>
      <c r="E25">
        <v>0.62</v>
      </c>
      <c r="F25">
        <v>83.998999999999995</v>
      </c>
      <c r="G25">
        <v>29.355</v>
      </c>
      <c r="H25">
        <v>115.369</v>
      </c>
      <c r="I25">
        <v>44.325000000000003</v>
      </c>
      <c r="J25">
        <v>11.789</v>
      </c>
      <c r="K25">
        <v>230.42099999999999</v>
      </c>
      <c r="L25">
        <v>16.998000000000001</v>
      </c>
      <c r="M25">
        <v>52.628999999999998</v>
      </c>
      <c r="N25">
        <v>16.954000000000001</v>
      </c>
      <c r="O25">
        <v>0.96</v>
      </c>
      <c r="P25">
        <v>2.5960000000000001</v>
      </c>
      <c r="Q25">
        <v>0</v>
      </c>
      <c r="R25">
        <v>44.804000000000002</v>
      </c>
      <c r="S25">
        <v>65.7</v>
      </c>
      <c r="T25">
        <v>24.8</v>
      </c>
    </row>
    <row r="26" spans="1:20" ht="15" thickBot="1" x14ac:dyDescent="0.35">
      <c r="A26" t="s">
        <v>0</v>
      </c>
      <c r="B26" s="1">
        <f t="shared" ref="B26:S26" si="0">AVERAGE(B6:B25)</f>
        <v>349.47465000000005</v>
      </c>
      <c r="C26" s="1">
        <f t="shared" si="0"/>
        <v>100</v>
      </c>
      <c r="D26" s="1">
        <f t="shared" si="0"/>
        <v>100</v>
      </c>
      <c r="E26" s="10">
        <f t="shared" si="0"/>
        <v>0.52810000000000001</v>
      </c>
      <c r="F26" s="1">
        <f t="shared" si="0"/>
        <v>83.809550000000002</v>
      </c>
      <c r="G26" s="1">
        <f t="shared" si="0"/>
        <v>28.707999999999998</v>
      </c>
      <c r="H26" s="10">
        <f t="shared" si="0"/>
        <v>115.18235</v>
      </c>
      <c r="I26" s="1">
        <f t="shared" si="0"/>
        <v>44.433750000000003</v>
      </c>
      <c r="J26" s="8">
        <f t="shared" si="0"/>
        <v>11.785050000000002</v>
      </c>
      <c r="K26" s="1">
        <f t="shared" si="0"/>
        <v>230.43310000000005</v>
      </c>
      <c r="L26" s="1">
        <f t="shared" si="0"/>
        <v>17.052250000000001</v>
      </c>
      <c r="M26" s="1">
        <f t="shared" si="0"/>
        <v>52.50654999999999</v>
      </c>
      <c r="N26" s="1">
        <f t="shared" si="0"/>
        <v>16.948650000000001</v>
      </c>
      <c r="O26" s="1">
        <f t="shared" si="0"/>
        <v>0.96199999999999997</v>
      </c>
      <c r="P26" s="1">
        <f t="shared" si="0"/>
        <v>2.6030499999999996</v>
      </c>
      <c r="Q26" s="1">
        <f t="shared" si="0"/>
        <v>0</v>
      </c>
      <c r="R26" s="1">
        <f t="shared" si="0"/>
        <v>44.123450000000005</v>
      </c>
      <c r="S26" s="1">
        <f t="shared" si="0"/>
        <v>65.705000000000013</v>
      </c>
      <c r="T26" s="8">
        <f>AVERAGE(T6:T25)</f>
        <v>24.800000000000008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1.6410499999999997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C285-2B80-40CD-B739-4011F97D9878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0.44594907407407408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60.026864375484436</v>
      </c>
      <c r="M2" s="8">
        <f>(H26*0.001*60)*(K2/100)*(G2/I2)</f>
        <v>3.3232175558751771</v>
      </c>
      <c r="O2" s="9">
        <f>100*((E26*C2)/((E26*C2)+(M2*E2)))</f>
        <v>13.461824031937834</v>
      </c>
      <c r="Q2" s="10">
        <f>100*J26*(1/(((C2/3.6)*E26)+((E2/3.6)*M2)))</f>
        <v>25.830947313385934</v>
      </c>
      <c r="S2" s="6">
        <v>3.54</v>
      </c>
      <c r="U2" s="10">
        <f>100*((((G26*0.001*60)*(C26-D26)*(S2/3.6)))/(((C2/3.6)*E26)+((E2/3.6)*M2)))</f>
        <v>331.50094969151257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372</v>
      </c>
      <c r="B6">
        <v>385.54199999999997</v>
      </c>
      <c r="C6">
        <v>100</v>
      </c>
      <c r="D6">
        <v>22</v>
      </c>
      <c r="E6">
        <v>0.67700000000000005</v>
      </c>
      <c r="F6">
        <v>84.501000000000005</v>
      </c>
      <c r="G6">
        <v>37.26</v>
      </c>
      <c r="H6">
        <v>128.387</v>
      </c>
      <c r="I6">
        <v>45.085000000000001</v>
      </c>
      <c r="J6">
        <v>13.776999999999999</v>
      </c>
      <c r="K6">
        <v>230.47</v>
      </c>
      <c r="L6">
        <v>19.866</v>
      </c>
      <c r="M6">
        <v>52.487000000000002</v>
      </c>
      <c r="N6">
        <v>19.838999999999999</v>
      </c>
      <c r="O6">
        <v>0.96099999999999997</v>
      </c>
      <c r="P6">
        <v>2.4009999999999998</v>
      </c>
      <c r="Q6">
        <v>0</v>
      </c>
      <c r="R6">
        <v>48.32</v>
      </c>
      <c r="S6">
        <v>74</v>
      </c>
      <c r="T6">
        <v>33</v>
      </c>
    </row>
    <row r="7" spans="1:21" x14ac:dyDescent="0.3">
      <c r="A7" t="s">
        <v>373</v>
      </c>
      <c r="B7">
        <v>387.404</v>
      </c>
      <c r="C7">
        <v>100</v>
      </c>
      <c r="D7">
        <v>22.111999999999998</v>
      </c>
      <c r="E7">
        <v>0.69299999999999995</v>
      </c>
      <c r="F7">
        <v>84.991</v>
      </c>
      <c r="G7">
        <v>37.366999999999997</v>
      </c>
      <c r="H7">
        <v>129.167</v>
      </c>
      <c r="I7">
        <v>45.281999999999996</v>
      </c>
      <c r="J7">
        <v>13.776</v>
      </c>
      <c r="K7">
        <v>230.125</v>
      </c>
      <c r="L7">
        <v>19.873999999999999</v>
      </c>
      <c r="M7">
        <v>52.497999999999998</v>
      </c>
      <c r="N7">
        <v>19.829999999999998</v>
      </c>
      <c r="O7">
        <v>0.98499999999999999</v>
      </c>
      <c r="P7">
        <v>2.3559999999999999</v>
      </c>
      <c r="Q7">
        <v>0</v>
      </c>
      <c r="R7">
        <v>49.235999999999997</v>
      </c>
      <c r="S7">
        <v>74.099999999999994</v>
      </c>
      <c r="T7">
        <v>33</v>
      </c>
    </row>
    <row r="8" spans="1:21" x14ac:dyDescent="0.3">
      <c r="A8" t="s">
        <v>374</v>
      </c>
      <c r="B8">
        <v>386.75</v>
      </c>
      <c r="C8">
        <v>100</v>
      </c>
      <c r="D8">
        <v>22.082000000000001</v>
      </c>
      <c r="E8">
        <v>0.54600000000000004</v>
      </c>
      <c r="F8">
        <v>85.349000000000004</v>
      </c>
      <c r="G8">
        <v>37.844000000000001</v>
      </c>
      <c r="H8">
        <v>129.49299999999999</v>
      </c>
      <c r="I8">
        <v>45.2</v>
      </c>
      <c r="J8">
        <v>13.904999999999999</v>
      </c>
      <c r="K8">
        <v>229.96100000000001</v>
      </c>
      <c r="L8">
        <v>20.797999999999998</v>
      </c>
      <c r="M8">
        <v>52.308999999999997</v>
      </c>
      <c r="N8">
        <v>20.675000000000001</v>
      </c>
      <c r="O8">
        <v>1.0089999999999999</v>
      </c>
      <c r="P8">
        <v>2.3809999999999998</v>
      </c>
      <c r="Q8">
        <v>0</v>
      </c>
      <c r="R8">
        <v>49.578000000000003</v>
      </c>
      <c r="S8">
        <v>74</v>
      </c>
      <c r="T8">
        <v>33</v>
      </c>
    </row>
    <row r="9" spans="1:21" x14ac:dyDescent="0.3">
      <c r="A9" t="s">
        <v>375</v>
      </c>
      <c r="B9">
        <v>385.48899999999998</v>
      </c>
      <c r="C9">
        <v>100</v>
      </c>
      <c r="D9">
        <v>22.247</v>
      </c>
      <c r="E9">
        <v>0.61599999999999999</v>
      </c>
      <c r="F9">
        <v>84.950999999999993</v>
      </c>
      <c r="G9">
        <v>37.683999999999997</v>
      </c>
      <c r="H9">
        <v>129.012</v>
      </c>
      <c r="I9">
        <v>45.335000000000001</v>
      </c>
      <c r="J9">
        <v>13.773</v>
      </c>
      <c r="K9">
        <v>230.059</v>
      </c>
      <c r="L9">
        <v>19.864999999999998</v>
      </c>
      <c r="M9">
        <v>52.542000000000002</v>
      </c>
      <c r="N9">
        <v>19.834</v>
      </c>
      <c r="O9">
        <v>0.99</v>
      </c>
      <c r="P9">
        <v>2.3730000000000002</v>
      </c>
      <c r="Q9">
        <v>0</v>
      </c>
      <c r="R9">
        <v>49.430999999999997</v>
      </c>
      <c r="S9">
        <v>73.8</v>
      </c>
      <c r="T9">
        <v>33</v>
      </c>
    </row>
    <row r="10" spans="1:21" x14ac:dyDescent="0.3">
      <c r="A10" t="s">
        <v>376</v>
      </c>
      <c r="B10">
        <v>385.49799999999999</v>
      </c>
      <c r="C10">
        <v>100</v>
      </c>
      <c r="D10">
        <v>22.247</v>
      </c>
      <c r="E10">
        <v>0.6</v>
      </c>
      <c r="F10">
        <v>84.971000000000004</v>
      </c>
      <c r="G10">
        <v>37.988</v>
      </c>
      <c r="H10">
        <v>128.66</v>
      </c>
      <c r="I10">
        <v>45.142000000000003</v>
      </c>
      <c r="J10">
        <v>13.776999999999999</v>
      </c>
      <c r="K10">
        <v>230.48599999999999</v>
      </c>
      <c r="L10">
        <v>19.870999999999999</v>
      </c>
      <c r="M10">
        <v>52.396000000000001</v>
      </c>
      <c r="N10">
        <v>19.831</v>
      </c>
      <c r="O10">
        <v>0.98399999999999999</v>
      </c>
      <c r="P10">
        <v>2.3959999999999999</v>
      </c>
      <c r="Q10">
        <v>0</v>
      </c>
      <c r="R10">
        <v>49.012999999999998</v>
      </c>
      <c r="S10">
        <v>74</v>
      </c>
      <c r="T10">
        <v>33</v>
      </c>
    </row>
    <row r="11" spans="1:21" x14ac:dyDescent="0.3">
      <c r="A11" t="s">
        <v>377</v>
      </c>
      <c r="B11">
        <v>389.27100000000002</v>
      </c>
      <c r="C11">
        <v>100</v>
      </c>
      <c r="D11">
        <v>22.286000000000001</v>
      </c>
      <c r="E11">
        <v>0.66600000000000004</v>
      </c>
      <c r="F11">
        <v>85.463999999999999</v>
      </c>
      <c r="G11">
        <v>37.366999999999997</v>
      </c>
      <c r="H11">
        <v>128.49299999999999</v>
      </c>
      <c r="I11">
        <v>45.302999999999997</v>
      </c>
      <c r="J11">
        <v>13.773999999999999</v>
      </c>
      <c r="K11">
        <v>230.24</v>
      </c>
      <c r="L11">
        <v>20.074000000000002</v>
      </c>
      <c r="M11">
        <v>52.305</v>
      </c>
      <c r="N11">
        <v>19.821000000000002</v>
      </c>
      <c r="O11">
        <v>1.0069999999999999</v>
      </c>
      <c r="P11">
        <v>2.3759999999999999</v>
      </c>
      <c r="Q11">
        <v>0</v>
      </c>
      <c r="R11">
        <v>48.307000000000002</v>
      </c>
      <c r="S11">
        <v>74.2</v>
      </c>
      <c r="T11">
        <v>33</v>
      </c>
    </row>
    <row r="12" spans="1:21" x14ac:dyDescent="0.3">
      <c r="A12" t="s">
        <v>378</v>
      </c>
      <c r="B12">
        <v>388.476</v>
      </c>
      <c r="C12">
        <v>100</v>
      </c>
      <c r="D12">
        <v>22.385000000000002</v>
      </c>
      <c r="E12">
        <v>0.57999999999999996</v>
      </c>
      <c r="F12">
        <v>85.811999999999998</v>
      </c>
      <c r="G12">
        <v>37.920999999999999</v>
      </c>
      <c r="H12">
        <v>129.09299999999999</v>
      </c>
      <c r="I12">
        <v>45.043999999999997</v>
      </c>
      <c r="J12">
        <v>13.78</v>
      </c>
      <c r="K12">
        <v>230.47</v>
      </c>
      <c r="L12">
        <v>20.097000000000001</v>
      </c>
      <c r="M12">
        <v>52.372</v>
      </c>
      <c r="N12">
        <v>19.824999999999999</v>
      </c>
      <c r="O12">
        <v>0.98699999999999999</v>
      </c>
      <c r="P12">
        <v>2.3820000000000001</v>
      </c>
      <c r="Q12">
        <v>0</v>
      </c>
      <c r="R12">
        <v>48.807000000000002</v>
      </c>
      <c r="S12">
        <v>74</v>
      </c>
      <c r="T12">
        <v>33</v>
      </c>
    </row>
    <row r="13" spans="1:21" x14ac:dyDescent="0.3">
      <c r="A13" t="s">
        <v>379</v>
      </c>
      <c r="B13">
        <v>387.40600000000001</v>
      </c>
      <c r="C13">
        <v>100</v>
      </c>
      <c r="D13">
        <v>22.46</v>
      </c>
      <c r="E13">
        <v>0.67</v>
      </c>
      <c r="F13">
        <v>84.965000000000003</v>
      </c>
      <c r="G13">
        <v>38.770000000000003</v>
      </c>
      <c r="H13">
        <v>129.745</v>
      </c>
      <c r="I13">
        <v>45.122</v>
      </c>
      <c r="J13">
        <v>13.773</v>
      </c>
      <c r="K13">
        <v>230.35499999999999</v>
      </c>
      <c r="L13">
        <v>20.076000000000001</v>
      </c>
      <c r="M13">
        <v>52.448999999999998</v>
      </c>
      <c r="N13">
        <v>19.829000000000001</v>
      </c>
      <c r="O13">
        <v>0.98799999999999999</v>
      </c>
      <c r="P13">
        <v>2.3820000000000001</v>
      </c>
      <c r="Q13">
        <v>0</v>
      </c>
      <c r="R13">
        <v>49.793999999999997</v>
      </c>
      <c r="S13">
        <v>73.900000000000006</v>
      </c>
      <c r="T13">
        <v>33</v>
      </c>
    </row>
    <row r="14" spans="1:21" x14ac:dyDescent="0.3">
      <c r="A14" t="s">
        <v>380</v>
      </c>
      <c r="B14">
        <v>386.608</v>
      </c>
      <c r="C14">
        <v>100</v>
      </c>
      <c r="D14">
        <v>22.48</v>
      </c>
      <c r="E14">
        <v>0.56200000000000006</v>
      </c>
      <c r="F14">
        <v>85.168000000000006</v>
      </c>
      <c r="G14">
        <v>39.033999999999999</v>
      </c>
      <c r="H14">
        <v>129.36600000000001</v>
      </c>
      <c r="I14">
        <v>45.100999999999999</v>
      </c>
      <c r="J14">
        <v>13.782</v>
      </c>
      <c r="K14">
        <v>230.55199999999999</v>
      </c>
      <c r="L14">
        <v>20.087</v>
      </c>
      <c r="M14">
        <v>52.341000000000001</v>
      </c>
      <c r="N14">
        <v>19.824999999999999</v>
      </c>
      <c r="O14">
        <v>0.95199999999999996</v>
      </c>
      <c r="P14">
        <v>2.4039999999999999</v>
      </c>
      <c r="Q14">
        <v>0</v>
      </c>
      <c r="R14">
        <v>49.838000000000001</v>
      </c>
      <c r="S14">
        <v>74</v>
      </c>
      <c r="T14">
        <v>33</v>
      </c>
    </row>
    <row r="15" spans="1:21" x14ac:dyDescent="0.3">
      <c r="A15" t="s">
        <v>381</v>
      </c>
      <c r="B15">
        <v>386.20499999999998</v>
      </c>
      <c r="C15">
        <v>100</v>
      </c>
      <c r="D15">
        <v>22.565000000000001</v>
      </c>
      <c r="E15">
        <v>0.64600000000000002</v>
      </c>
      <c r="F15">
        <v>85.332999999999998</v>
      </c>
      <c r="G15">
        <v>38.976999999999997</v>
      </c>
      <c r="H15">
        <v>129.04900000000001</v>
      </c>
      <c r="I15">
        <v>44.731999999999999</v>
      </c>
      <c r="J15">
        <v>13.776999999999999</v>
      </c>
      <c r="K15">
        <v>230.24</v>
      </c>
      <c r="L15">
        <v>19.867999999999999</v>
      </c>
      <c r="M15">
        <v>52.415999999999997</v>
      </c>
      <c r="N15">
        <v>19.815999999999999</v>
      </c>
      <c r="O15">
        <v>0.97299999999999998</v>
      </c>
      <c r="P15">
        <v>2.3849999999999998</v>
      </c>
      <c r="Q15">
        <v>0</v>
      </c>
      <c r="R15">
        <v>49.069000000000003</v>
      </c>
      <c r="S15">
        <v>74</v>
      </c>
      <c r="T15">
        <v>33</v>
      </c>
    </row>
    <row r="16" spans="1:21" x14ac:dyDescent="0.3">
      <c r="A16" t="s">
        <v>382</v>
      </c>
      <c r="B16">
        <v>385.87900000000002</v>
      </c>
      <c r="C16">
        <v>100</v>
      </c>
      <c r="D16">
        <v>22.529</v>
      </c>
      <c r="E16">
        <v>0.56899999999999995</v>
      </c>
      <c r="F16">
        <v>85.51</v>
      </c>
      <c r="G16">
        <v>39.421999999999997</v>
      </c>
      <c r="H16">
        <v>128.58099999999999</v>
      </c>
      <c r="I16">
        <v>45.232999999999997</v>
      </c>
      <c r="J16">
        <v>13.779</v>
      </c>
      <c r="K16">
        <v>230.536</v>
      </c>
      <c r="L16">
        <v>19.893999999999998</v>
      </c>
      <c r="M16">
        <v>52.350999999999999</v>
      </c>
      <c r="N16">
        <v>19.818999999999999</v>
      </c>
      <c r="O16">
        <v>0.97199999999999998</v>
      </c>
      <c r="P16">
        <v>2.3769999999999998</v>
      </c>
      <c r="Q16">
        <v>0</v>
      </c>
      <c r="R16">
        <v>48.771000000000001</v>
      </c>
      <c r="S16">
        <v>74.099999999999994</v>
      </c>
      <c r="T16">
        <v>33</v>
      </c>
    </row>
    <row r="17" spans="1:20" x14ac:dyDescent="0.3">
      <c r="A17" t="s">
        <v>383</v>
      </c>
      <c r="B17">
        <v>387.42</v>
      </c>
      <c r="C17">
        <v>100</v>
      </c>
      <c r="D17">
        <v>22.552</v>
      </c>
      <c r="E17">
        <v>0.67600000000000005</v>
      </c>
      <c r="F17">
        <v>85.075999999999993</v>
      </c>
      <c r="G17">
        <v>39.020000000000003</v>
      </c>
      <c r="H17">
        <v>129.304</v>
      </c>
      <c r="I17">
        <v>44.747999999999998</v>
      </c>
      <c r="J17">
        <v>13.773999999999999</v>
      </c>
      <c r="K17">
        <v>230.35499999999999</v>
      </c>
      <c r="L17">
        <v>20.062000000000001</v>
      </c>
      <c r="M17">
        <v>52.436999999999998</v>
      </c>
      <c r="N17">
        <v>19.812999999999999</v>
      </c>
      <c r="O17">
        <v>0.98799999999999999</v>
      </c>
      <c r="P17">
        <v>2.363</v>
      </c>
      <c r="Q17">
        <v>0</v>
      </c>
      <c r="R17">
        <v>48.655999999999999</v>
      </c>
      <c r="S17">
        <v>73.7</v>
      </c>
      <c r="T17">
        <v>33</v>
      </c>
    </row>
    <row r="18" spans="1:20" x14ac:dyDescent="0.3">
      <c r="A18" t="s">
        <v>384</v>
      </c>
      <c r="B18">
        <v>387.66800000000001</v>
      </c>
      <c r="C18">
        <v>100</v>
      </c>
      <c r="D18">
        <v>22.608000000000001</v>
      </c>
      <c r="E18">
        <v>0.55500000000000005</v>
      </c>
      <c r="F18">
        <v>84.997</v>
      </c>
      <c r="G18">
        <v>38.957000000000001</v>
      </c>
      <c r="H18">
        <v>129.88800000000001</v>
      </c>
      <c r="I18">
        <v>45.225000000000001</v>
      </c>
      <c r="J18">
        <v>13.776999999999999</v>
      </c>
      <c r="K18">
        <v>230.339</v>
      </c>
      <c r="L18">
        <v>20.055</v>
      </c>
      <c r="M18">
        <v>52.417999999999999</v>
      </c>
      <c r="N18">
        <v>19.826000000000001</v>
      </c>
      <c r="O18">
        <v>0.98499999999999999</v>
      </c>
      <c r="P18">
        <v>2.391</v>
      </c>
      <c r="Q18">
        <v>0</v>
      </c>
      <c r="R18">
        <v>49.896999999999998</v>
      </c>
      <c r="S18">
        <v>73.900000000000006</v>
      </c>
      <c r="T18">
        <v>33</v>
      </c>
    </row>
    <row r="19" spans="1:20" x14ac:dyDescent="0.3">
      <c r="A19" t="s">
        <v>385</v>
      </c>
      <c r="B19">
        <v>387.64499999999998</v>
      </c>
      <c r="C19">
        <v>100</v>
      </c>
      <c r="D19">
        <v>22.638000000000002</v>
      </c>
      <c r="E19">
        <v>0.497</v>
      </c>
      <c r="F19">
        <v>85.037000000000006</v>
      </c>
      <c r="G19">
        <v>39.176000000000002</v>
      </c>
      <c r="H19">
        <v>129.30799999999999</v>
      </c>
      <c r="I19">
        <v>44.616999999999997</v>
      </c>
      <c r="J19">
        <v>13.77</v>
      </c>
      <c r="K19">
        <v>230.339</v>
      </c>
      <c r="L19">
        <v>20.036000000000001</v>
      </c>
      <c r="M19">
        <v>52.326999999999998</v>
      </c>
      <c r="N19">
        <v>19.818999999999999</v>
      </c>
      <c r="O19">
        <v>0.95399999999999996</v>
      </c>
      <c r="P19">
        <v>2.387</v>
      </c>
      <c r="Q19">
        <v>0</v>
      </c>
      <c r="R19">
        <v>49.661999999999999</v>
      </c>
      <c r="S19">
        <v>74</v>
      </c>
      <c r="T19">
        <v>33</v>
      </c>
    </row>
    <row r="20" spans="1:20" x14ac:dyDescent="0.3">
      <c r="A20" t="s">
        <v>386</v>
      </c>
      <c r="B20">
        <v>386.12</v>
      </c>
      <c r="C20">
        <v>100</v>
      </c>
      <c r="D20">
        <v>22.654</v>
      </c>
      <c r="E20">
        <v>0.60799999999999998</v>
      </c>
      <c r="F20">
        <v>85.149000000000001</v>
      </c>
      <c r="G20">
        <v>39.496000000000002</v>
      </c>
      <c r="H20">
        <v>128.79400000000001</v>
      </c>
      <c r="I20">
        <v>44.978000000000002</v>
      </c>
      <c r="J20">
        <v>13.78</v>
      </c>
      <c r="K20">
        <v>230.47</v>
      </c>
      <c r="L20">
        <v>19.911000000000001</v>
      </c>
      <c r="M20">
        <v>52.283999999999999</v>
      </c>
      <c r="N20">
        <v>19.818000000000001</v>
      </c>
      <c r="O20">
        <v>0.95799999999999996</v>
      </c>
      <c r="P20">
        <v>2.403</v>
      </c>
      <c r="Q20">
        <v>0</v>
      </c>
      <c r="R20">
        <v>49.281999999999996</v>
      </c>
      <c r="S20">
        <v>73.900000000000006</v>
      </c>
      <c r="T20">
        <v>33</v>
      </c>
    </row>
    <row r="21" spans="1:20" x14ac:dyDescent="0.3">
      <c r="A21" t="s">
        <v>387</v>
      </c>
      <c r="B21">
        <v>386.06599999999997</v>
      </c>
      <c r="C21">
        <v>100</v>
      </c>
      <c r="D21">
        <v>22.651</v>
      </c>
      <c r="E21">
        <v>0.68700000000000006</v>
      </c>
      <c r="F21">
        <v>84.944999999999993</v>
      </c>
      <c r="G21">
        <v>39.859000000000002</v>
      </c>
      <c r="H21">
        <v>128.898</v>
      </c>
      <c r="I21">
        <v>44.65</v>
      </c>
      <c r="J21">
        <v>13.771000000000001</v>
      </c>
      <c r="K21">
        <v>230.10900000000001</v>
      </c>
      <c r="L21">
        <v>19.888999999999999</v>
      </c>
      <c r="M21">
        <v>52.366</v>
      </c>
      <c r="N21">
        <v>19.818999999999999</v>
      </c>
      <c r="O21">
        <v>0.95399999999999996</v>
      </c>
      <c r="P21">
        <v>2.375</v>
      </c>
      <c r="Q21">
        <v>0</v>
      </c>
      <c r="R21">
        <v>48.567999999999998</v>
      </c>
      <c r="S21">
        <v>74</v>
      </c>
      <c r="T21">
        <v>33</v>
      </c>
    </row>
    <row r="22" spans="1:20" x14ac:dyDescent="0.3">
      <c r="A22" t="s">
        <v>388</v>
      </c>
      <c r="B22">
        <v>387.41399999999999</v>
      </c>
      <c r="C22">
        <v>100</v>
      </c>
      <c r="D22">
        <v>24.297000000000001</v>
      </c>
      <c r="E22">
        <v>0.57299999999999995</v>
      </c>
      <c r="F22">
        <v>84.891999999999996</v>
      </c>
      <c r="G22">
        <v>39.764000000000003</v>
      </c>
      <c r="H22">
        <v>129.63200000000001</v>
      </c>
      <c r="I22">
        <v>44.936999999999998</v>
      </c>
      <c r="J22">
        <v>13.782999999999999</v>
      </c>
      <c r="K22">
        <v>230.38800000000001</v>
      </c>
      <c r="L22">
        <v>19.908000000000001</v>
      </c>
      <c r="M22">
        <v>52.575000000000003</v>
      </c>
      <c r="N22">
        <v>19.827000000000002</v>
      </c>
      <c r="O22">
        <v>0.97199999999999998</v>
      </c>
      <c r="P22">
        <v>2.3980000000000001</v>
      </c>
      <c r="Q22">
        <v>0</v>
      </c>
      <c r="R22">
        <v>49.481000000000002</v>
      </c>
      <c r="S22">
        <v>73.900000000000006</v>
      </c>
      <c r="T22">
        <v>33</v>
      </c>
    </row>
    <row r="23" spans="1:20" x14ac:dyDescent="0.3">
      <c r="A23" t="s">
        <v>389</v>
      </c>
      <c r="B23">
        <v>387.827</v>
      </c>
      <c r="C23">
        <v>100</v>
      </c>
      <c r="D23">
        <v>24.234000000000002</v>
      </c>
      <c r="E23">
        <v>0.46</v>
      </c>
      <c r="F23">
        <v>85.503</v>
      </c>
      <c r="G23">
        <v>40.146999999999998</v>
      </c>
      <c r="H23">
        <v>130.059</v>
      </c>
      <c r="I23">
        <v>44.460999999999999</v>
      </c>
      <c r="J23">
        <v>13.773</v>
      </c>
      <c r="K23">
        <v>230.38800000000001</v>
      </c>
      <c r="L23">
        <v>20.041</v>
      </c>
      <c r="M23">
        <v>52.329000000000001</v>
      </c>
      <c r="N23">
        <v>19.763999999999999</v>
      </c>
      <c r="O23">
        <v>0.88600000000000001</v>
      </c>
      <c r="P23">
        <v>2.3439999999999999</v>
      </c>
      <c r="Q23">
        <v>0</v>
      </c>
      <c r="R23">
        <v>50.045999999999999</v>
      </c>
      <c r="S23">
        <v>74</v>
      </c>
      <c r="T23">
        <v>33</v>
      </c>
    </row>
    <row r="24" spans="1:20" x14ac:dyDescent="0.3">
      <c r="A24" t="s">
        <v>390</v>
      </c>
      <c r="B24">
        <v>387.78300000000002</v>
      </c>
      <c r="C24">
        <v>100</v>
      </c>
      <c r="D24">
        <v>24.303000000000001</v>
      </c>
      <c r="E24">
        <v>0.64</v>
      </c>
      <c r="F24">
        <v>85.241</v>
      </c>
      <c r="G24">
        <v>40.133000000000003</v>
      </c>
      <c r="H24">
        <v>129.62899999999999</v>
      </c>
      <c r="I24">
        <v>44.850999999999999</v>
      </c>
      <c r="J24">
        <v>13.832000000000001</v>
      </c>
      <c r="K24">
        <v>230.79900000000001</v>
      </c>
      <c r="L24">
        <v>20.047000000000001</v>
      </c>
      <c r="M24">
        <v>52.436999999999998</v>
      </c>
      <c r="N24">
        <v>19.829999999999998</v>
      </c>
      <c r="O24">
        <v>0.98</v>
      </c>
      <c r="P24">
        <v>2.4049999999999998</v>
      </c>
      <c r="Q24">
        <v>0</v>
      </c>
      <c r="R24">
        <v>50.115000000000002</v>
      </c>
      <c r="S24">
        <v>73.900000000000006</v>
      </c>
      <c r="T24">
        <v>33</v>
      </c>
    </row>
    <row r="25" spans="1:20" ht="15" thickBot="1" x14ac:dyDescent="0.35">
      <c r="A25" t="s">
        <v>391</v>
      </c>
      <c r="B25">
        <v>386.96</v>
      </c>
      <c r="C25">
        <v>100</v>
      </c>
      <c r="D25">
        <v>24.395</v>
      </c>
      <c r="E25">
        <v>0.59299999999999997</v>
      </c>
      <c r="F25">
        <v>85.674000000000007</v>
      </c>
      <c r="G25">
        <v>40.503</v>
      </c>
      <c r="H25">
        <v>129.01</v>
      </c>
      <c r="I25">
        <v>44.542999999999999</v>
      </c>
      <c r="J25">
        <v>13.775</v>
      </c>
      <c r="K25">
        <v>230.15799999999999</v>
      </c>
      <c r="L25">
        <v>19.867999999999999</v>
      </c>
      <c r="M25">
        <v>52.314999999999998</v>
      </c>
      <c r="N25">
        <v>19.827999999999999</v>
      </c>
      <c r="O25">
        <v>0.98</v>
      </c>
      <c r="P25">
        <v>2.3849999999999998</v>
      </c>
      <c r="Q25">
        <v>0</v>
      </c>
      <c r="R25">
        <v>49.158999999999999</v>
      </c>
      <c r="S25">
        <v>73.8</v>
      </c>
      <c r="T25">
        <v>33</v>
      </c>
    </row>
    <row r="26" spans="1:20" ht="15" thickBot="1" x14ac:dyDescent="0.35">
      <c r="A26" t="s">
        <v>0</v>
      </c>
      <c r="B26" s="1">
        <f t="shared" ref="B26:S26" si="0">AVERAGE(B6:B25)</f>
        <v>386.97155000000004</v>
      </c>
      <c r="C26" s="1">
        <f t="shared" si="0"/>
        <v>100</v>
      </c>
      <c r="D26" s="1">
        <f t="shared" si="0"/>
        <v>22.786249999999999</v>
      </c>
      <c r="E26" s="10">
        <f t="shared" si="0"/>
        <v>0.60570000000000013</v>
      </c>
      <c r="F26" s="1">
        <f t="shared" si="0"/>
        <v>85.176449999999988</v>
      </c>
      <c r="G26" s="1">
        <f t="shared" si="0"/>
        <v>38.834450000000004</v>
      </c>
      <c r="H26" s="10">
        <f t="shared" si="0"/>
        <v>129.17840000000001</v>
      </c>
      <c r="I26" s="1">
        <f t="shared" si="0"/>
        <v>44.97945</v>
      </c>
      <c r="J26" s="8">
        <f t="shared" si="0"/>
        <v>13.785399999999996</v>
      </c>
      <c r="K26" s="1">
        <f t="shared" si="0"/>
        <v>230.34195000000005</v>
      </c>
      <c r="L26" s="1">
        <f t="shared" si="0"/>
        <v>20.009350000000001</v>
      </c>
      <c r="M26" s="1">
        <f t="shared" si="0"/>
        <v>52.3977</v>
      </c>
      <c r="N26" s="1">
        <f t="shared" si="0"/>
        <v>19.864399999999996</v>
      </c>
      <c r="O26" s="1">
        <f t="shared" si="0"/>
        <v>0.97324999999999995</v>
      </c>
      <c r="P26" s="1">
        <f t="shared" si="0"/>
        <v>2.3832</v>
      </c>
      <c r="Q26" s="1">
        <f t="shared" si="0"/>
        <v>0</v>
      </c>
      <c r="R26" s="1">
        <f t="shared" si="0"/>
        <v>49.251500000000007</v>
      </c>
      <c r="S26" s="1">
        <f t="shared" si="0"/>
        <v>73.960000000000008</v>
      </c>
      <c r="T26" s="8">
        <f>AVERAGE(T6:T25)</f>
        <v>33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1.40995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6D34-BFF8-453F-8EEB-91A91AD281F3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6" sqref="L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0.45120370370370372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49.324429418252095</v>
      </c>
      <c r="M2" s="8">
        <f>(H26*0.001*60)*(K2/100)*(G2/I2)</f>
        <v>1.7521178837586824</v>
      </c>
      <c r="O2" s="9">
        <f>100*((E26*C2)/((E26*C2)+(M2*E2)))</f>
        <v>13.911945690087006</v>
      </c>
      <c r="Q2" s="10">
        <f>100*J26*(1/(((C2/3.6)*E26)+((E2/3.6)*M2)))</f>
        <v>4.5961576855125435E-3</v>
      </c>
      <c r="S2" s="6">
        <v>3.54</v>
      </c>
      <c r="U2" s="10">
        <f>100*((((G26*0.001*60)*(C26-D26)*(S2/3.6)))/(((C2/3.6)*E26)+((E2/3.6)*M2)))</f>
        <v>70.28915260560052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392</v>
      </c>
      <c r="B6">
        <v>147.351</v>
      </c>
      <c r="C6">
        <v>100</v>
      </c>
      <c r="D6">
        <v>1.9E-2</v>
      </c>
      <c r="E6">
        <v>0.33200000000000002</v>
      </c>
      <c r="F6">
        <v>78.614000000000004</v>
      </c>
      <c r="G6">
        <v>3.1219999999999999</v>
      </c>
      <c r="H6">
        <v>82.518000000000001</v>
      </c>
      <c r="I6">
        <v>36.033999999999999</v>
      </c>
      <c r="J6">
        <v>0</v>
      </c>
      <c r="K6">
        <v>229.78</v>
      </c>
      <c r="L6">
        <v>2E-3</v>
      </c>
      <c r="M6">
        <v>52.976999999999997</v>
      </c>
      <c r="N6">
        <v>0</v>
      </c>
      <c r="O6">
        <v>0.91700000000000004</v>
      </c>
      <c r="P6">
        <v>3.0680000000000001</v>
      </c>
      <c r="Q6">
        <v>0</v>
      </c>
      <c r="R6">
        <v>39.415999999999997</v>
      </c>
      <c r="S6">
        <v>38.6</v>
      </c>
      <c r="T6">
        <v>9</v>
      </c>
    </row>
    <row r="7" spans="1:21" x14ac:dyDescent="0.3">
      <c r="A7" t="s">
        <v>393</v>
      </c>
      <c r="B7">
        <v>147.40600000000001</v>
      </c>
      <c r="C7">
        <v>100</v>
      </c>
      <c r="D7">
        <v>3.2000000000000001E-2</v>
      </c>
      <c r="E7">
        <v>0.33200000000000002</v>
      </c>
      <c r="F7">
        <v>77.77</v>
      </c>
      <c r="G7">
        <v>3.1989999999999998</v>
      </c>
      <c r="H7">
        <v>82.516000000000005</v>
      </c>
      <c r="I7">
        <v>35.927</v>
      </c>
      <c r="J7">
        <v>0</v>
      </c>
      <c r="K7">
        <v>230.20699999999999</v>
      </c>
      <c r="L7">
        <v>1E-3</v>
      </c>
      <c r="M7">
        <v>52.936</v>
      </c>
      <c r="N7">
        <v>0</v>
      </c>
      <c r="O7">
        <v>0.91100000000000003</v>
      </c>
      <c r="P7">
        <v>3.0680000000000001</v>
      </c>
      <c r="Q7">
        <v>0</v>
      </c>
      <c r="R7">
        <v>39.436</v>
      </c>
      <c r="S7">
        <v>38.5</v>
      </c>
      <c r="T7">
        <v>9</v>
      </c>
    </row>
    <row r="8" spans="1:21" x14ac:dyDescent="0.3">
      <c r="A8" t="s">
        <v>394</v>
      </c>
      <c r="B8">
        <v>147.27099999999999</v>
      </c>
      <c r="C8">
        <v>100</v>
      </c>
      <c r="D8">
        <v>1.6E-2</v>
      </c>
      <c r="E8">
        <v>0.32400000000000001</v>
      </c>
      <c r="F8">
        <v>78.263000000000005</v>
      </c>
      <c r="G8">
        <v>3.3319999999999999</v>
      </c>
      <c r="H8">
        <v>82.867999999999995</v>
      </c>
      <c r="I8">
        <v>35.927</v>
      </c>
      <c r="J8">
        <v>1E-3</v>
      </c>
      <c r="K8">
        <v>229.87899999999999</v>
      </c>
      <c r="L8">
        <v>1E-3</v>
      </c>
      <c r="M8">
        <v>52.962000000000003</v>
      </c>
      <c r="N8">
        <v>0</v>
      </c>
      <c r="O8">
        <v>0.91</v>
      </c>
      <c r="P8">
        <v>3.0539999999999998</v>
      </c>
      <c r="Q8">
        <v>0</v>
      </c>
      <c r="R8">
        <v>39.465000000000003</v>
      </c>
      <c r="S8">
        <v>38.5</v>
      </c>
      <c r="T8">
        <v>9</v>
      </c>
    </row>
    <row r="9" spans="1:21" x14ac:dyDescent="0.3">
      <c r="A9" t="s">
        <v>395</v>
      </c>
      <c r="B9">
        <v>147.11600000000001</v>
      </c>
      <c r="C9">
        <v>100</v>
      </c>
      <c r="D9">
        <v>2.9000000000000001E-2</v>
      </c>
      <c r="E9">
        <v>0.33500000000000002</v>
      </c>
      <c r="F9">
        <v>78.620999999999995</v>
      </c>
      <c r="G9">
        <v>3.4569999999999999</v>
      </c>
      <c r="H9">
        <v>82.902000000000001</v>
      </c>
      <c r="I9">
        <v>36.338000000000001</v>
      </c>
      <c r="J9">
        <v>1E-3</v>
      </c>
      <c r="K9">
        <v>230.125</v>
      </c>
      <c r="L9">
        <v>6.0000000000000001E-3</v>
      </c>
      <c r="M9">
        <v>52.899000000000001</v>
      </c>
      <c r="N9">
        <v>0</v>
      </c>
      <c r="O9">
        <v>0.89100000000000001</v>
      </c>
      <c r="P9">
        <v>3.07</v>
      </c>
      <c r="Q9">
        <v>0</v>
      </c>
      <c r="R9">
        <v>39.445</v>
      </c>
      <c r="S9">
        <v>38.6</v>
      </c>
      <c r="T9">
        <v>9</v>
      </c>
    </row>
    <row r="10" spans="1:21" x14ac:dyDescent="0.3">
      <c r="A10" t="s">
        <v>396</v>
      </c>
      <c r="B10">
        <v>147.43</v>
      </c>
      <c r="C10">
        <v>100</v>
      </c>
      <c r="D10">
        <v>2.1999999999999999E-2</v>
      </c>
      <c r="E10">
        <v>0.32800000000000001</v>
      </c>
      <c r="F10">
        <v>78.049000000000007</v>
      </c>
      <c r="G10">
        <v>3.3090000000000002</v>
      </c>
      <c r="H10">
        <v>82.834999999999994</v>
      </c>
      <c r="I10">
        <v>36.292999999999999</v>
      </c>
      <c r="J10">
        <v>2E-3</v>
      </c>
      <c r="K10">
        <v>229.87899999999999</v>
      </c>
      <c r="L10">
        <v>1E-3</v>
      </c>
      <c r="M10">
        <v>52.848999999999997</v>
      </c>
      <c r="N10">
        <v>0</v>
      </c>
      <c r="O10">
        <v>0.92400000000000004</v>
      </c>
      <c r="P10">
        <v>3.0510000000000002</v>
      </c>
      <c r="Q10">
        <v>0</v>
      </c>
      <c r="R10">
        <v>39.487000000000002</v>
      </c>
      <c r="S10">
        <v>38.5</v>
      </c>
      <c r="T10">
        <v>9</v>
      </c>
    </row>
    <row r="11" spans="1:21" x14ac:dyDescent="0.3">
      <c r="A11" t="s">
        <v>397</v>
      </c>
      <c r="B11">
        <v>147.44200000000001</v>
      </c>
      <c r="C11">
        <v>100</v>
      </c>
      <c r="D11">
        <v>3.9E-2</v>
      </c>
      <c r="E11">
        <v>0.33300000000000002</v>
      </c>
      <c r="F11">
        <v>78.69</v>
      </c>
      <c r="G11">
        <v>3.4460000000000002</v>
      </c>
      <c r="H11">
        <v>82.963999999999999</v>
      </c>
      <c r="I11">
        <v>36.542999999999999</v>
      </c>
      <c r="J11">
        <v>1E-3</v>
      </c>
      <c r="K11">
        <v>230.09200000000001</v>
      </c>
      <c r="L11">
        <v>2E-3</v>
      </c>
      <c r="M11">
        <v>53.005000000000003</v>
      </c>
      <c r="N11">
        <v>0</v>
      </c>
      <c r="O11">
        <v>0.92100000000000004</v>
      </c>
      <c r="P11">
        <v>3.0720000000000001</v>
      </c>
      <c r="Q11">
        <v>0</v>
      </c>
      <c r="R11">
        <v>39.542999999999999</v>
      </c>
      <c r="S11">
        <v>38.4</v>
      </c>
      <c r="T11">
        <v>9</v>
      </c>
    </row>
    <row r="12" spans="1:21" x14ac:dyDescent="0.3">
      <c r="A12" t="s">
        <v>398</v>
      </c>
      <c r="B12">
        <v>147.51300000000001</v>
      </c>
      <c r="C12">
        <v>100</v>
      </c>
      <c r="D12">
        <v>1.6E-2</v>
      </c>
      <c r="E12">
        <v>0.32100000000000001</v>
      </c>
      <c r="F12">
        <v>78.978999999999999</v>
      </c>
      <c r="G12">
        <v>3.5579999999999998</v>
      </c>
      <c r="H12">
        <v>82.927999999999997</v>
      </c>
      <c r="I12">
        <v>36.037999999999997</v>
      </c>
      <c r="J12">
        <v>3.0000000000000001E-3</v>
      </c>
      <c r="K12">
        <v>229.89500000000001</v>
      </c>
      <c r="L12">
        <v>0.14899999999999999</v>
      </c>
      <c r="M12">
        <v>52.942</v>
      </c>
      <c r="N12">
        <v>0</v>
      </c>
      <c r="O12">
        <v>0.90500000000000003</v>
      </c>
      <c r="P12">
        <v>3.056</v>
      </c>
      <c r="Q12">
        <v>0</v>
      </c>
      <c r="R12">
        <v>39.573999999999998</v>
      </c>
      <c r="S12">
        <v>38.6</v>
      </c>
      <c r="T12">
        <v>9</v>
      </c>
    </row>
    <row r="13" spans="1:21" x14ac:dyDescent="0.3">
      <c r="A13" t="s">
        <v>399</v>
      </c>
      <c r="B13">
        <v>147.095</v>
      </c>
      <c r="C13">
        <v>100</v>
      </c>
      <c r="D13">
        <v>4.2000000000000003E-2</v>
      </c>
      <c r="E13">
        <v>0.33200000000000002</v>
      </c>
      <c r="F13">
        <v>76.843999999999994</v>
      </c>
      <c r="G13">
        <v>3.4540000000000002</v>
      </c>
      <c r="H13">
        <v>82.995000000000005</v>
      </c>
      <c r="I13">
        <v>36.079000000000001</v>
      </c>
      <c r="J13">
        <v>0</v>
      </c>
      <c r="K13">
        <v>230.059</v>
      </c>
      <c r="L13">
        <v>0</v>
      </c>
      <c r="M13">
        <v>52.921999999999997</v>
      </c>
      <c r="N13">
        <v>0</v>
      </c>
      <c r="O13">
        <v>0.91500000000000004</v>
      </c>
      <c r="P13">
        <v>3.0249999999999999</v>
      </c>
      <c r="Q13">
        <v>0</v>
      </c>
      <c r="R13">
        <v>39.572000000000003</v>
      </c>
      <c r="S13">
        <v>38.6</v>
      </c>
      <c r="T13">
        <v>9</v>
      </c>
    </row>
    <row r="14" spans="1:21" x14ac:dyDescent="0.3">
      <c r="A14" t="s">
        <v>400</v>
      </c>
      <c r="B14">
        <v>147.292</v>
      </c>
      <c r="C14">
        <v>100</v>
      </c>
      <c r="D14">
        <v>3.2000000000000001E-2</v>
      </c>
      <c r="E14">
        <v>0.35299999999999998</v>
      </c>
      <c r="F14">
        <v>78.811000000000007</v>
      </c>
      <c r="G14">
        <v>3.6080000000000001</v>
      </c>
      <c r="H14">
        <v>82.998999999999995</v>
      </c>
      <c r="I14">
        <v>35.914999999999999</v>
      </c>
      <c r="J14">
        <v>2E-3</v>
      </c>
      <c r="K14">
        <v>229.94399999999999</v>
      </c>
      <c r="L14">
        <v>0</v>
      </c>
      <c r="M14">
        <v>52.843000000000004</v>
      </c>
      <c r="N14">
        <v>0</v>
      </c>
      <c r="O14">
        <v>0.90900000000000003</v>
      </c>
      <c r="P14">
        <v>3.0579999999999998</v>
      </c>
      <c r="Q14">
        <v>0</v>
      </c>
      <c r="R14">
        <v>39.606999999999999</v>
      </c>
      <c r="S14">
        <v>38.6</v>
      </c>
      <c r="T14">
        <v>9</v>
      </c>
    </row>
    <row r="15" spans="1:21" x14ac:dyDescent="0.3">
      <c r="A15" t="s">
        <v>401</v>
      </c>
      <c r="B15">
        <v>147.18</v>
      </c>
      <c r="C15">
        <v>100</v>
      </c>
      <c r="D15">
        <v>3.2000000000000001E-2</v>
      </c>
      <c r="E15">
        <v>0.33900000000000002</v>
      </c>
      <c r="F15">
        <v>78.850999999999999</v>
      </c>
      <c r="G15">
        <v>3.5150000000000001</v>
      </c>
      <c r="H15">
        <v>82.834000000000003</v>
      </c>
      <c r="I15">
        <v>35.844999999999999</v>
      </c>
      <c r="J15">
        <v>1E-3</v>
      </c>
      <c r="K15">
        <v>230.059</v>
      </c>
      <c r="L15">
        <v>0</v>
      </c>
      <c r="M15">
        <v>52.963999999999999</v>
      </c>
      <c r="N15">
        <v>0</v>
      </c>
      <c r="O15">
        <v>0.91200000000000003</v>
      </c>
      <c r="P15">
        <v>3.0649999999999999</v>
      </c>
      <c r="Q15">
        <v>0</v>
      </c>
      <c r="R15">
        <v>39.627000000000002</v>
      </c>
      <c r="S15">
        <v>38.5</v>
      </c>
      <c r="T15">
        <v>9</v>
      </c>
    </row>
    <row r="16" spans="1:21" x14ac:dyDescent="0.3">
      <c r="A16" t="s">
        <v>402</v>
      </c>
      <c r="B16">
        <v>147.221</v>
      </c>
      <c r="C16">
        <v>100</v>
      </c>
      <c r="D16">
        <v>2.5999999999999999E-2</v>
      </c>
      <c r="E16">
        <v>0.34699999999999998</v>
      </c>
      <c r="F16">
        <v>77.763000000000005</v>
      </c>
      <c r="G16">
        <v>3.1219999999999999</v>
      </c>
      <c r="H16">
        <v>82.921000000000006</v>
      </c>
      <c r="I16">
        <v>36.058999999999997</v>
      </c>
      <c r="J16">
        <v>1E-3</v>
      </c>
      <c r="K16">
        <v>229.91200000000001</v>
      </c>
      <c r="L16">
        <v>0</v>
      </c>
      <c r="M16">
        <v>53.005000000000003</v>
      </c>
      <c r="N16">
        <v>0</v>
      </c>
      <c r="O16">
        <v>0.90700000000000003</v>
      </c>
      <c r="P16">
        <v>3.0680000000000001</v>
      </c>
      <c r="Q16">
        <v>0</v>
      </c>
      <c r="R16">
        <v>39.658999999999999</v>
      </c>
      <c r="S16">
        <v>38.5</v>
      </c>
      <c r="T16">
        <v>9</v>
      </c>
    </row>
    <row r="17" spans="1:20" x14ac:dyDescent="0.3">
      <c r="A17" t="s">
        <v>403</v>
      </c>
      <c r="B17">
        <v>147.27799999999999</v>
      </c>
      <c r="C17">
        <v>100</v>
      </c>
      <c r="D17">
        <v>2.1999999999999999E-2</v>
      </c>
      <c r="E17">
        <v>0.33100000000000002</v>
      </c>
      <c r="F17">
        <v>78.765000000000001</v>
      </c>
      <c r="G17">
        <v>3.5310000000000001</v>
      </c>
      <c r="H17">
        <v>82.734999999999999</v>
      </c>
      <c r="I17">
        <v>36.201999999999998</v>
      </c>
      <c r="J17">
        <v>1E-3</v>
      </c>
      <c r="K17">
        <v>230.059</v>
      </c>
      <c r="L17">
        <v>0</v>
      </c>
      <c r="M17">
        <v>52.875</v>
      </c>
      <c r="N17">
        <v>0</v>
      </c>
      <c r="O17">
        <v>0.90300000000000002</v>
      </c>
      <c r="P17">
        <v>3.0659999999999998</v>
      </c>
      <c r="Q17">
        <v>0</v>
      </c>
      <c r="R17">
        <v>39.668999999999997</v>
      </c>
      <c r="S17">
        <v>38.5</v>
      </c>
      <c r="T17">
        <v>9</v>
      </c>
    </row>
    <row r="18" spans="1:20" x14ac:dyDescent="0.3">
      <c r="A18" t="s">
        <v>404</v>
      </c>
      <c r="B18">
        <v>147.488</v>
      </c>
      <c r="C18">
        <v>100</v>
      </c>
      <c r="D18">
        <v>2.5999999999999999E-2</v>
      </c>
      <c r="E18">
        <v>0.32600000000000001</v>
      </c>
      <c r="F18">
        <v>78.088999999999999</v>
      </c>
      <c r="G18">
        <v>3.4510000000000001</v>
      </c>
      <c r="H18">
        <v>82.963999999999999</v>
      </c>
      <c r="I18">
        <v>36.177999999999997</v>
      </c>
      <c r="J18">
        <v>1E-3</v>
      </c>
      <c r="K18">
        <v>229.86199999999999</v>
      </c>
      <c r="L18">
        <v>2.7E-2</v>
      </c>
      <c r="M18">
        <v>52.942</v>
      </c>
      <c r="N18">
        <v>0</v>
      </c>
      <c r="O18">
        <v>0.89500000000000002</v>
      </c>
      <c r="P18">
        <v>3.073</v>
      </c>
      <c r="Q18">
        <v>0</v>
      </c>
      <c r="R18">
        <v>39.685000000000002</v>
      </c>
      <c r="S18">
        <v>38.6</v>
      </c>
      <c r="T18">
        <v>9</v>
      </c>
    </row>
    <row r="19" spans="1:20" x14ac:dyDescent="0.3">
      <c r="A19" t="s">
        <v>405</v>
      </c>
      <c r="B19">
        <v>147.405</v>
      </c>
      <c r="C19">
        <v>100</v>
      </c>
      <c r="D19">
        <v>4.9000000000000002E-2</v>
      </c>
      <c r="E19">
        <v>0.32800000000000001</v>
      </c>
      <c r="F19">
        <v>77.900999999999996</v>
      </c>
      <c r="G19">
        <v>3.5579999999999998</v>
      </c>
      <c r="H19">
        <v>83.087000000000003</v>
      </c>
      <c r="I19">
        <v>36.156999999999996</v>
      </c>
      <c r="J19">
        <v>1E-3</v>
      </c>
      <c r="K19">
        <v>230.09200000000001</v>
      </c>
      <c r="L19">
        <v>2E-3</v>
      </c>
      <c r="M19">
        <v>52.899000000000001</v>
      </c>
      <c r="N19">
        <v>0</v>
      </c>
      <c r="O19">
        <v>0.91800000000000004</v>
      </c>
      <c r="P19">
        <v>3.0510000000000002</v>
      </c>
      <c r="Q19">
        <v>0</v>
      </c>
      <c r="R19">
        <v>39.69</v>
      </c>
      <c r="S19">
        <v>38.6</v>
      </c>
      <c r="T19">
        <v>9</v>
      </c>
    </row>
    <row r="20" spans="1:20" x14ac:dyDescent="0.3">
      <c r="A20" t="s">
        <v>406</v>
      </c>
      <c r="B20">
        <v>147.191</v>
      </c>
      <c r="C20">
        <v>100</v>
      </c>
      <c r="D20">
        <v>3.5000000000000003E-2</v>
      </c>
      <c r="E20">
        <v>0.34699999999999998</v>
      </c>
      <c r="F20">
        <v>78.495999999999995</v>
      </c>
      <c r="G20">
        <v>3.5819999999999999</v>
      </c>
      <c r="H20">
        <v>83.034000000000006</v>
      </c>
      <c r="I20">
        <v>35.993000000000002</v>
      </c>
      <c r="J20">
        <v>1E-3</v>
      </c>
      <c r="K20">
        <v>230.125</v>
      </c>
      <c r="L20">
        <v>2E-3</v>
      </c>
      <c r="M20">
        <v>52.91</v>
      </c>
      <c r="N20">
        <v>0</v>
      </c>
      <c r="O20">
        <v>0.91900000000000004</v>
      </c>
      <c r="P20">
        <v>3.0529999999999999</v>
      </c>
      <c r="Q20">
        <v>0</v>
      </c>
      <c r="R20">
        <v>39.652999999999999</v>
      </c>
      <c r="S20">
        <v>38.5</v>
      </c>
      <c r="T20">
        <v>9</v>
      </c>
    </row>
    <row r="21" spans="1:20" x14ac:dyDescent="0.3">
      <c r="A21" t="s">
        <v>407</v>
      </c>
      <c r="B21">
        <v>147.476</v>
      </c>
      <c r="C21">
        <v>100</v>
      </c>
      <c r="D21">
        <v>1.9E-2</v>
      </c>
      <c r="E21">
        <v>0.33500000000000002</v>
      </c>
      <c r="F21">
        <v>77.477999999999994</v>
      </c>
      <c r="G21">
        <v>3.2290000000000001</v>
      </c>
      <c r="H21">
        <v>82.981999999999999</v>
      </c>
      <c r="I21">
        <v>35.862000000000002</v>
      </c>
      <c r="J21">
        <v>1E-3</v>
      </c>
      <c r="K21">
        <v>230.01</v>
      </c>
      <c r="L21">
        <v>5.0000000000000001E-3</v>
      </c>
      <c r="M21">
        <v>52.777999999999999</v>
      </c>
      <c r="N21">
        <v>0</v>
      </c>
      <c r="O21">
        <v>0.89800000000000002</v>
      </c>
      <c r="P21">
        <v>3.04</v>
      </c>
      <c r="Q21">
        <v>0</v>
      </c>
      <c r="R21">
        <v>39.640999999999998</v>
      </c>
      <c r="S21">
        <v>38.5</v>
      </c>
      <c r="T21">
        <v>9</v>
      </c>
    </row>
    <row r="22" spans="1:20" x14ac:dyDescent="0.3">
      <c r="A22" t="s">
        <v>408</v>
      </c>
      <c r="B22">
        <v>147.369</v>
      </c>
      <c r="C22">
        <v>100</v>
      </c>
      <c r="D22">
        <v>3.2000000000000001E-2</v>
      </c>
      <c r="E22">
        <v>0.32600000000000001</v>
      </c>
      <c r="F22">
        <v>78.302000000000007</v>
      </c>
      <c r="G22">
        <v>3.1219999999999999</v>
      </c>
      <c r="H22">
        <v>83.013000000000005</v>
      </c>
      <c r="I22">
        <v>36.177999999999997</v>
      </c>
      <c r="J22">
        <v>1E-3</v>
      </c>
      <c r="K22">
        <v>230.10900000000001</v>
      </c>
      <c r="L22">
        <v>5.0000000000000001E-3</v>
      </c>
      <c r="M22">
        <v>53.09</v>
      </c>
      <c r="N22">
        <v>0</v>
      </c>
      <c r="O22">
        <v>0.89100000000000001</v>
      </c>
      <c r="P22">
        <v>3.056</v>
      </c>
      <c r="Q22">
        <v>0</v>
      </c>
      <c r="R22">
        <v>39.634</v>
      </c>
      <c r="S22">
        <v>38.5</v>
      </c>
      <c r="T22">
        <v>9</v>
      </c>
    </row>
    <row r="23" spans="1:20" x14ac:dyDescent="0.3">
      <c r="A23" t="s">
        <v>409</v>
      </c>
      <c r="B23">
        <v>147.53399999999999</v>
      </c>
      <c r="C23">
        <v>100</v>
      </c>
      <c r="D23">
        <v>2.9000000000000001E-2</v>
      </c>
      <c r="E23">
        <v>0.32900000000000001</v>
      </c>
      <c r="F23">
        <v>78.948999999999998</v>
      </c>
      <c r="G23">
        <v>3.3690000000000002</v>
      </c>
      <c r="H23">
        <v>83.091999999999999</v>
      </c>
      <c r="I23">
        <v>36.371000000000002</v>
      </c>
      <c r="J23">
        <v>2E-3</v>
      </c>
      <c r="K23">
        <v>229.89500000000001</v>
      </c>
      <c r="L23">
        <v>8.0000000000000002E-3</v>
      </c>
      <c r="M23">
        <v>52.933999999999997</v>
      </c>
      <c r="N23">
        <v>0</v>
      </c>
      <c r="O23">
        <v>0.91600000000000004</v>
      </c>
      <c r="P23">
        <v>3.0409999999999999</v>
      </c>
      <c r="Q23">
        <v>0</v>
      </c>
      <c r="R23">
        <v>39.631</v>
      </c>
      <c r="S23">
        <v>38.6</v>
      </c>
      <c r="T23">
        <v>9</v>
      </c>
    </row>
    <row r="24" spans="1:20" x14ac:dyDescent="0.3">
      <c r="A24" t="s">
        <v>410</v>
      </c>
      <c r="B24">
        <v>147.107</v>
      </c>
      <c r="C24">
        <v>100</v>
      </c>
      <c r="D24">
        <v>1.2E-2</v>
      </c>
      <c r="E24">
        <v>0.32300000000000001</v>
      </c>
      <c r="F24">
        <v>76.793999999999997</v>
      </c>
      <c r="G24">
        <v>3.2490000000000001</v>
      </c>
      <c r="H24">
        <v>82.813999999999993</v>
      </c>
      <c r="I24">
        <v>36.075000000000003</v>
      </c>
      <c r="J24">
        <v>5.0000000000000001E-3</v>
      </c>
      <c r="K24">
        <v>229.994</v>
      </c>
      <c r="L24">
        <v>6.2E-2</v>
      </c>
      <c r="M24">
        <v>53.029000000000003</v>
      </c>
      <c r="N24">
        <v>0</v>
      </c>
      <c r="O24">
        <v>0.88600000000000001</v>
      </c>
      <c r="P24">
        <v>3.056</v>
      </c>
      <c r="Q24">
        <v>0</v>
      </c>
      <c r="R24">
        <v>39.671999999999997</v>
      </c>
      <c r="S24">
        <v>38.5</v>
      </c>
      <c r="T24">
        <v>9</v>
      </c>
    </row>
    <row r="25" spans="1:20" ht="15" thickBot="1" x14ac:dyDescent="0.35">
      <c r="A25" t="s">
        <v>411</v>
      </c>
      <c r="B25">
        <v>147.256</v>
      </c>
      <c r="C25">
        <v>100</v>
      </c>
      <c r="D25">
        <v>3.5000000000000003E-2</v>
      </c>
      <c r="E25">
        <v>0.314</v>
      </c>
      <c r="F25">
        <v>77.335999999999999</v>
      </c>
      <c r="G25">
        <v>3.1989999999999998</v>
      </c>
      <c r="H25">
        <v>82.706999999999994</v>
      </c>
      <c r="I25">
        <v>36.045999999999999</v>
      </c>
      <c r="J25">
        <v>1E-3</v>
      </c>
      <c r="K25">
        <v>229.87899999999999</v>
      </c>
      <c r="L25">
        <v>6.0000000000000001E-3</v>
      </c>
      <c r="M25">
        <v>52.914000000000001</v>
      </c>
      <c r="N25">
        <v>0</v>
      </c>
      <c r="O25">
        <v>0.91900000000000004</v>
      </c>
      <c r="P25">
        <v>3.0590000000000002</v>
      </c>
      <c r="Q25">
        <v>0</v>
      </c>
      <c r="R25">
        <v>39.603000000000002</v>
      </c>
      <c r="S25">
        <v>38.4</v>
      </c>
      <c r="T25">
        <v>9</v>
      </c>
    </row>
    <row r="26" spans="1:20" ht="15" thickBot="1" x14ac:dyDescent="0.35">
      <c r="A26" t="s">
        <v>0</v>
      </c>
      <c r="B26" s="1">
        <f t="shared" ref="B26:S26" si="0">AVERAGE(B6:B25)</f>
        <v>147.32105000000001</v>
      </c>
      <c r="C26" s="1">
        <f t="shared" si="0"/>
        <v>100</v>
      </c>
      <c r="D26" s="1">
        <f t="shared" si="0"/>
        <v>2.820000000000001E-2</v>
      </c>
      <c r="E26" s="10">
        <f t="shared" si="0"/>
        <v>0.33175000000000004</v>
      </c>
      <c r="F26" s="1">
        <f t="shared" si="0"/>
        <v>78.168250000000015</v>
      </c>
      <c r="G26" s="1">
        <f t="shared" si="0"/>
        <v>3.3705999999999996</v>
      </c>
      <c r="H26" s="10">
        <f t="shared" si="0"/>
        <v>82.885400000000004</v>
      </c>
      <c r="I26" s="1">
        <f t="shared" si="0"/>
        <v>36.103000000000002</v>
      </c>
      <c r="J26" s="8">
        <f t="shared" si="0"/>
        <v>1.3000000000000004E-3</v>
      </c>
      <c r="K26" s="1">
        <f t="shared" si="0"/>
        <v>229.99279999999999</v>
      </c>
      <c r="L26" s="1">
        <f t="shared" si="0"/>
        <v>1.3950000000000001E-2</v>
      </c>
      <c r="M26" s="1">
        <f t="shared" si="0"/>
        <v>52.933749999999996</v>
      </c>
      <c r="N26" s="1">
        <f t="shared" si="0"/>
        <v>0</v>
      </c>
      <c r="O26" s="1">
        <f t="shared" si="0"/>
        <v>0.9083500000000001</v>
      </c>
      <c r="P26" s="1">
        <f t="shared" si="0"/>
        <v>3.0574999999999997</v>
      </c>
      <c r="Q26" s="1">
        <f t="shared" si="0"/>
        <v>0</v>
      </c>
      <c r="R26" s="1">
        <f t="shared" si="0"/>
        <v>39.585449999999994</v>
      </c>
      <c r="S26" s="1">
        <f t="shared" si="0"/>
        <v>38.53</v>
      </c>
      <c r="T26" s="8">
        <f>AVERAGE(T6:T25)</f>
        <v>9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2.1491499999999997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C23-8422-4A79-AE69-FC90A6567AE1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8" sqref="M38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0.45195601851851852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50.362024355424317</v>
      </c>
      <c r="M2" s="8">
        <f>(H26*0.001*60)*(K2/100)*(G2/I2)</f>
        <v>1.9502621985888988</v>
      </c>
      <c r="O2" s="9">
        <f>100*((E26*C2)/((E26*C2)+(M2*E2)))</f>
        <v>13.219909737971333</v>
      </c>
      <c r="Q2" s="10">
        <f>100*J26*(1/(((C2/3.6)*E26)+((E2/3.6)*M2)))</f>
        <v>6.456502428494673</v>
      </c>
      <c r="S2" s="6">
        <v>3.54</v>
      </c>
      <c r="U2" s="10">
        <f>100*((((G26*0.001*60)*(C26-D26)*(S2/3.6)))/(((C2/3.6)*E26)+((E2/3.6)*M2)))</f>
        <v>68.709546985341419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412</v>
      </c>
      <c r="B6">
        <v>170.31299999999999</v>
      </c>
      <c r="C6">
        <v>100</v>
      </c>
      <c r="D6">
        <v>2.9000000000000001E-2</v>
      </c>
      <c r="E6">
        <v>0.35299999999999998</v>
      </c>
      <c r="F6">
        <v>78.686999999999998</v>
      </c>
      <c r="G6">
        <v>3.53</v>
      </c>
      <c r="H6">
        <v>90.522999999999996</v>
      </c>
      <c r="I6">
        <v>36.276000000000003</v>
      </c>
      <c r="J6">
        <v>2.0179999999999998</v>
      </c>
      <c r="K6">
        <v>230.25700000000001</v>
      </c>
      <c r="L6">
        <v>2.8290000000000002</v>
      </c>
      <c r="M6">
        <v>52.92</v>
      </c>
      <c r="N6">
        <v>2.948</v>
      </c>
      <c r="O6">
        <v>0.871</v>
      </c>
      <c r="P6">
        <v>3.05</v>
      </c>
      <c r="Q6">
        <v>0</v>
      </c>
      <c r="R6">
        <v>42.582000000000001</v>
      </c>
      <c r="S6">
        <v>43.3</v>
      </c>
      <c r="T6">
        <v>12.5</v>
      </c>
    </row>
    <row r="7" spans="1:21" x14ac:dyDescent="0.3">
      <c r="A7" t="s">
        <v>413</v>
      </c>
      <c r="B7">
        <v>170.47</v>
      </c>
      <c r="C7">
        <v>100</v>
      </c>
      <c r="D7">
        <v>2.1999999999999999E-2</v>
      </c>
      <c r="E7">
        <v>0.34899999999999998</v>
      </c>
      <c r="F7">
        <v>78.539000000000001</v>
      </c>
      <c r="G7">
        <v>3.7269999999999999</v>
      </c>
      <c r="H7">
        <v>90.305000000000007</v>
      </c>
      <c r="I7">
        <v>36.070999999999998</v>
      </c>
      <c r="J7">
        <v>2.016</v>
      </c>
      <c r="K7">
        <v>230.04300000000001</v>
      </c>
      <c r="L7">
        <v>3.0019999999999998</v>
      </c>
      <c r="M7">
        <v>52.844999999999999</v>
      </c>
      <c r="N7">
        <v>2.9470000000000001</v>
      </c>
      <c r="O7">
        <v>0.92600000000000005</v>
      </c>
      <c r="P7">
        <v>2.9780000000000002</v>
      </c>
      <c r="Q7">
        <v>0</v>
      </c>
      <c r="R7">
        <v>42.72</v>
      </c>
      <c r="S7">
        <v>43.2</v>
      </c>
      <c r="T7">
        <v>12.5</v>
      </c>
    </row>
    <row r="8" spans="1:21" x14ac:dyDescent="0.3">
      <c r="A8" t="s">
        <v>414</v>
      </c>
      <c r="B8">
        <v>170.482</v>
      </c>
      <c r="C8">
        <v>100</v>
      </c>
      <c r="D8">
        <v>3.2000000000000001E-2</v>
      </c>
      <c r="E8">
        <v>0.35099999999999998</v>
      </c>
      <c r="F8">
        <v>78.465999999999994</v>
      </c>
      <c r="G8">
        <v>3.4470000000000001</v>
      </c>
      <c r="H8">
        <v>90.569000000000003</v>
      </c>
      <c r="I8">
        <v>36.137</v>
      </c>
      <c r="J8">
        <v>2.0179999999999998</v>
      </c>
      <c r="K8">
        <v>230.404</v>
      </c>
      <c r="L8">
        <v>3.028</v>
      </c>
      <c r="M8">
        <v>52.871000000000002</v>
      </c>
      <c r="N8">
        <v>2.9529999999999998</v>
      </c>
      <c r="O8">
        <v>0.91400000000000003</v>
      </c>
      <c r="P8">
        <v>2.97</v>
      </c>
      <c r="Q8">
        <v>0</v>
      </c>
      <c r="R8">
        <v>42.752000000000002</v>
      </c>
      <c r="S8">
        <v>43.3</v>
      </c>
      <c r="T8">
        <v>12.5</v>
      </c>
    </row>
    <row r="9" spans="1:21" x14ac:dyDescent="0.3">
      <c r="A9" t="s">
        <v>415</v>
      </c>
      <c r="B9">
        <v>170.46</v>
      </c>
      <c r="C9">
        <v>100</v>
      </c>
      <c r="D9">
        <v>2.1999999999999999E-2</v>
      </c>
      <c r="E9">
        <v>0.34200000000000003</v>
      </c>
      <c r="F9">
        <v>78.631</v>
      </c>
      <c r="G9">
        <v>3.625</v>
      </c>
      <c r="H9">
        <v>90.281000000000006</v>
      </c>
      <c r="I9">
        <v>36.1</v>
      </c>
      <c r="J9">
        <v>2.0169999999999999</v>
      </c>
      <c r="K9">
        <v>230.02699999999999</v>
      </c>
      <c r="L9">
        <v>3.012</v>
      </c>
      <c r="M9">
        <v>52.835999999999999</v>
      </c>
      <c r="N9">
        <v>2.944</v>
      </c>
      <c r="O9">
        <v>0.91900000000000004</v>
      </c>
      <c r="P9">
        <v>2.9750000000000001</v>
      </c>
      <c r="Q9">
        <v>0</v>
      </c>
      <c r="R9">
        <v>42.616999999999997</v>
      </c>
      <c r="S9">
        <v>43.2</v>
      </c>
      <c r="T9">
        <v>12.5</v>
      </c>
    </row>
    <row r="10" spans="1:21" x14ac:dyDescent="0.3">
      <c r="A10" t="s">
        <v>416</v>
      </c>
      <c r="B10">
        <v>170.572</v>
      </c>
      <c r="C10">
        <v>100</v>
      </c>
      <c r="D10">
        <v>2.9000000000000001E-2</v>
      </c>
      <c r="E10">
        <v>0.34799999999999998</v>
      </c>
      <c r="F10">
        <v>79.16</v>
      </c>
      <c r="G10">
        <v>3.6539999999999999</v>
      </c>
      <c r="H10">
        <v>90.350999999999999</v>
      </c>
      <c r="I10">
        <v>36.268000000000001</v>
      </c>
      <c r="J10">
        <v>2.0179999999999998</v>
      </c>
      <c r="K10">
        <v>230.404</v>
      </c>
      <c r="L10">
        <v>2.9929999999999999</v>
      </c>
      <c r="M10">
        <v>52.826000000000001</v>
      </c>
      <c r="N10">
        <v>2.948</v>
      </c>
      <c r="O10">
        <v>0.92300000000000004</v>
      </c>
      <c r="P10">
        <v>2.97</v>
      </c>
      <c r="Q10">
        <v>0</v>
      </c>
      <c r="R10">
        <v>42.524000000000001</v>
      </c>
      <c r="S10">
        <v>43.4</v>
      </c>
      <c r="T10">
        <v>12.5</v>
      </c>
    </row>
    <row r="11" spans="1:21" x14ac:dyDescent="0.3">
      <c r="A11" t="s">
        <v>417</v>
      </c>
      <c r="B11">
        <v>170.441</v>
      </c>
      <c r="C11">
        <v>100</v>
      </c>
      <c r="D11">
        <v>2.1999999999999999E-2</v>
      </c>
      <c r="E11">
        <v>0.36399999999999999</v>
      </c>
      <c r="F11">
        <v>78.631</v>
      </c>
      <c r="G11">
        <v>3.6739999999999999</v>
      </c>
      <c r="H11">
        <v>90.457999999999998</v>
      </c>
      <c r="I11">
        <v>36.301000000000002</v>
      </c>
      <c r="J11">
        <v>2.016</v>
      </c>
      <c r="K11">
        <v>230.04300000000001</v>
      </c>
      <c r="L11">
        <v>2.9670000000000001</v>
      </c>
      <c r="M11">
        <v>52.91</v>
      </c>
      <c r="N11">
        <v>2.9510000000000001</v>
      </c>
      <c r="O11">
        <v>0.94399999999999995</v>
      </c>
      <c r="P11">
        <v>2.9649999999999999</v>
      </c>
      <c r="Q11">
        <v>0</v>
      </c>
      <c r="R11">
        <v>42.52</v>
      </c>
      <c r="S11">
        <v>43.3</v>
      </c>
      <c r="T11">
        <v>12.5</v>
      </c>
    </row>
    <row r="12" spans="1:21" x14ac:dyDescent="0.3">
      <c r="A12" t="s">
        <v>418</v>
      </c>
      <c r="B12">
        <v>170.727</v>
      </c>
      <c r="C12">
        <v>100</v>
      </c>
      <c r="D12">
        <v>4.2000000000000003E-2</v>
      </c>
      <c r="E12">
        <v>0.38</v>
      </c>
      <c r="F12">
        <v>79.415999999999997</v>
      </c>
      <c r="G12">
        <v>3.3969999999999998</v>
      </c>
      <c r="H12">
        <v>90.331999999999994</v>
      </c>
      <c r="I12">
        <v>35.151000000000003</v>
      </c>
      <c r="J12">
        <v>2.0129999999999999</v>
      </c>
      <c r="K12">
        <v>230.142</v>
      </c>
      <c r="L12">
        <v>2.8860000000000001</v>
      </c>
      <c r="M12">
        <v>52.78</v>
      </c>
      <c r="N12">
        <v>2.9420000000000002</v>
      </c>
      <c r="O12">
        <v>0.91900000000000004</v>
      </c>
      <c r="P12">
        <v>2.9870000000000001</v>
      </c>
      <c r="Q12">
        <v>0</v>
      </c>
      <c r="R12">
        <v>42.521000000000001</v>
      </c>
      <c r="S12">
        <v>43.3</v>
      </c>
      <c r="T12">
        <v>12.5</v>
      </c>
    </row>
    <row r="13" spans="1:21" x14ac:dyDescent="0.3">
      <c r="A13" t="s">
        <v>419</v>
      </c>
      <c r="B13">
        <v>170.87799999999999</v>
      </c>
      <c r="C13">
        <v>100</v>
      </c>
      <c r="D13">
        <v>2.1999999999999999E-2</v>
      </c>
      <c r="E13">
        <v>0.35099999999999998</v>
      </c>
      <c r="F13">
        <v>78.222999999999999</v>
      </c>
      <c r="G13">
        <v>3.1829999999999998</v>
      </c>
      <c r="H13">
        <v>90.131</v>
      </c>
      <c r="I13">
        <v>36.33</v>
      </c>
      <c r="J13">
        <v>2.0169999999999999</v>
      </c>
      <c r="K13">
        <v>230.125</v>
      </c>
      <c r="L13">
        <v>2.9039999999999999</v>
      </c>
      <c r="M13">
        <v>52.866999999999997</v>
      </c>
      <c r="N13">
        <v>2.95</v>
      </c>
      <c r="O13">
        <v>0.92600000000000005</v>
      </c>
      <c r="P13">
        <v>2.1779999999999999</v>
      </c>
      <c r="Q13">
        <v>0</v>
      </c>
      <c r="R13">
        <v>42.564999999999998</v>
      </c>
      <c r="S13">
        <v>43.4</v>
      </c>
      <c r="T13">
        <v>12.5</v>
      </c>
    </row>
    <row r="14" spans="1:21" x14ac:dyDescent="0.3">
      <c r="A14" t="s">
        <v>420</v>
      </c>
      <c r="B14">
        <v>171.113</v>
      </c>
      <c r="C14">
        <v>100</v>
      </c>
      <c r="D14">
        <v>2.9000000000000001E-2</v>
      </c>
      <c r="E14">
        <v>0.33400000000000002</v>
      </c>
      <c r="F14">
        <v>78.141000000000005</v>
      </c>
      <c r="G14">
        <v>3.9809999999999999</v>
      </c>
      <c r="H14">
        <v>90.527000000000001</v>
      </c>
      <c r="I14">
        <v>36.427999999999997</v>
      </c>
      <c r="J14">
        <v>2.0150000000000001</v>
      </c>
      <c r="K14">
        <v>230.38800000000001</v>
      </c>
      <c r="L14">
        <v>2.903</v>
      </c>
      <c r="M14">
        <v>52.93</v>
      </c>
      <c r="N14">
        <v>2.9409999999999998</v>
      </c>
      <c r="O14">
        <v>0.91</v>
      </c>
      <c r="P14">
        <v>2.956</v>
      </c>
      <c r="Q14">
        <v>0</v>
      </c>
      <c r="R14">
        <v>42.637</v>
      </c>
      <c r="S14">
        <v>43.3</v>
      </c>
      <c r="T14">
        <v>12.5</v>
      </c>
    </row>
    <row r="15" spans="1:21" x14ac:dyDescent="0.3">
      <c r="A15" t="s">
        <v>421</v>
      </c>
      <c r="B15">
        <v>171.17099999999999</v>
      </c>
      <c r="C15">
        <v>100</v>
      </c>
      <c r="D15">
        <v>1.9E-2</v>
      </c>
      <c r="E15">
        <v>0.33</v>
      </c>
      <c r="F15">
        <v>78.765000000000001</v>
      </c>
      <c r="G15">
        <v>3.5710000000000002</v>
      </c>
      <c r="H15">
        <v>90.293999999999997</v>
      </c>
      <c r="I15">
        <v>36.301000000000002</v>
      </c>
      <c r="J15">
        <v>2.0179999999999998</v>
      </c>
      <c r="K15">
        <v>230.30600000000001</v>
      </c>
      <c r="L15">
        <v>2.907</v>
      </c>
      <c r="M15">
        <v>52.954000000000001</v>
      </c>
      <c r="N15">
        <v>2.9510000000000001</v>
      </c>
      <c r="O15">
        <v>0.91300000000000003</v>
      </c>
      <c r="P15">
        <v>2.9790000000000001</v>
      </c>
      <c r="Q15">
        <v>0</v>
      </c>
      <c r="R15">
        <v>42.7</v>
      </c>
      <c r="S15">
        <v>43.2</v>
      </c>
      <c r="T15">
        <v>12.5</v>
      </c>
    </row>
    <row r="16" spans="1:21" x14ac:dyDescent="0.3">
      <c r="A16" t="s">
        <v>422</v>
      </c>
      <c r="B16">
        <v>171.25299999999999</v>
      </c>
      <c r="C16">
        <v>100</v>
      </c>
      <c r="D16">
        <v>2.5999999999999999E-2</v>
      </c>
      <c r="E16">
        <v>0.35</v>
      </c>
      <c r="F16">
        <v>78.850999999999999</v>
      </c>
      <c r="G16">
        <v>3.871</v>
      </c>
      <c r="H16">
        <v>90.64</v>
      </c>
      <c r="I16">
        <v>36.359000000000002</v>
      </c>
      <c r="J16">
        <v>2.0139999999999998</v>
      </c>
      <c r="K16">
        <v>230.04300000000001</v>
      </c>
      <c r="L16">
        <v>2.8980000000000001</v>
      </c>
      <c r="M16">
        <v>52.94</v>
      </c>
      <c r="N16">
        <v>2.944</v>
      </c>
      <c r="O16">
        <v>0.90300000000000002</v>
      </c>
      <c r="P16">
        <v>2.9660000000000002</v>
      </c>
      <c r="Q16">
        <v>0</v>
      </c>
      <c r="R16">
        <v>42.817999999999998</v>
      </c>
      <c r="S16">
        <v>43.3</v>
      </c>
      <c r="T16">
        <v>12.5</v>
      </c>
    </row>
    <row r="17" spans="1:20" x14ac:dyDescent="0.3">
      <c r="A17" t="s">
        <v>423</v>
      </c>
      <c r="B17">
        <v>171.261</v>
      </c>
      <c r="C17">
        <v>100</v>
      </c>
      <c r="D17">
        <v>8.9999999999999993E-3</v>
      </c>
      <c r="E17">
        <v>0.34100000000000003</v>
      </c>
      <c r="F17">
        <v>77.944000000000003</v>
      </c>
      <c r="G17">
        <v>3.3620000000000001</v>
      </c>
      <c r="H17">
        <v>90.412999999999997</v>
      </c>
      <c r="I17">
        <v>36.478000000000002</v>
      </c>
      <c r="J17">
        <v>2.0169999999999999</v>
      </c>
      <c r="K17">
        <v>230.142</v>
      </c>
      <c r="L17">
        <v>2.9039999999999999</v>
      </c>
      <c r="M17">
        <v>52.838999999999999</v>
      </c>
      <c r="N17">
        <v>2.952</v>
      </c>
      <c r="O17">
        <v>0.90900000000000003</v>
      </c>
      <c r="P17">
        <v>2.9849999999999999</v>
      </c>
      <c r="Q17">
        <v>0</v>
      </c>
      <c r="R17">
        <v>42.759</v>
      </c>
      <c r="S17">
        <v>43.3</v>
      </c>
      <c r="T17">
        <v>12.5</v>
      </c>
    </row>
    <row r="18" spans="1:20" x14ac:dyDescent="0.3">
      <c r="A18" t="s">
        <v>424</v>
      </c>
      <c r="B18">
        <v>171.03800000000001</v>
      </c>
      <c r="C18">
        <v>100</v>
      </c>
      <c r="D18">
        <v>1.9E-2</v>
      </c>
      <c r="E18">
        <v>0.34899999999999998</v>
      </c>
      <c r="F18">
        <v>79.12</v>
      </c>
      <c r="G18">
        <v>3.8559999999999999</v>
      </c>
      <c r="H18">
        <v>90.528999999999996</v>
      </c>
      <c r="I18">
        <v>36.518999999999998</v>
      </c>
      <c r="J18">
        <v>2.0150000000000001</v>
      </c>
      <c r="K18">
        <v>230.191</v>
      </c>
      <c r="L18">
        <v>2.8919999999999999</v>
      </c>
      <c r="M18">
        <v>52.860999999999997</v>
      </c>
      <c r="N18">
        <v>2.944</v>
      </c>
      <c r="O18">
        <v>0.9</v>
      </c>
      <c r="P18">
        <v>2.9910000000000001</v>
      </c>
      <c r="Q18">
        <v>0</v>
      </c>
      <c r="R18">
        <v>42.646999999999998</v>
      </c>
      <c r="S18">
        <v>43.2</v>
      </c>
      <c r="T18">
        <v>12.5</v>
      </c>
    </row>
    <row r="19" spans="1:20" x14ac:dyDescent="0.3">
      <c r="A19" t="s">
        <v>425</v>
      </c>
      <c r="B19">
        <v>171.15799999999999</v>
      </c>
      <c r="C19">
        <v>100</v>
      </c>
      <c r="D19">
        <v>1.9E-2</v>
      </c>
      <c r="E19">
        <v>0.34599999999999997</v>
      </c>
      <c r="F19">
        <v>78.122</v>
      </c>
      <c r="G19">
        <v>3.59</v>
      </c>
      <c r="H19">
        <v>90.231999999999999</v>
      </c>
      <c r="I19">
        <v>36.453000000000003</v>
      </c>
      <c r="J19">
        <v>2.016</v>
      </c>
      <c r="K19">
        <v>230.07599999999999</v>
      </c>
      <c r="L19">
        <v>2.9510000000000001</v>
      </c>
      <c r="M19">
        <v>52.804000000000002</v>
      </c>
      <c r="N19">
        <v>2.9609999999999999</v>
      </c>
      <c r="O19">
        <v>0.93700000000000006</v>
      </c>
      <c r="P19">
        <v>2.9740000000000002</v>
      </c>
      <c r="Q19">
        <v>0</v>
      </c>
      <c r="R19">
        <v>42.570999999999998</v>
      </c>
      <c r="S19">
        <v>43.3</v>
      </c>
      <c r="T19">
        <v>12.5</v>
      </c>
    </row>
    <row r="20" spans="1:20" x14ac:dyDescent="0.3">
      <c r="A20" t="s">
        <v>426</v>
      </c>
      <c r="B20">
        <v>170.751</v>
      </c>
      <c r="C20">
        <v>100</v>
      </c>
      <c r="D20">
        <v>2.9000000000000001E-2</v>
      </c>
      <c r="E20">
        <v>0.34799999999999998</v>
      </c>
      <c r="F20">
        <v>78.712999999999994</v>
      </c>
      <c r="G20">
        <v>3.5510000000000002</v>
      </c>
      <c r="H20">
        <v>90.222999999999999</v>
      </c>
      <c r="I20">
        <v>36.432000000000002</v>
      </c>
      <c r="J20">
        <v>2.0179999999999998</v>
      </c>
      <c r="K20">
        <v>230.37200000000001</v>
      </c>
      <c r="L20">
        <v>2.907</v>
      </c>
      <c r="M20">
        <v>52.889000000000003</v>
      </c>
      <c r="N20">
        <v>2.948</v>
      </c>
      <c r="O20">
        <v>0.93300000000000005</v>
      </c>
      <c r="P20">
        <v>2.9750000000000001</v>
      </c>
      <c r="Q20">
        <v>0</v>
      </c>
      <c r="R20">
        <v>42.552</v>
      </c>
      <c r="S20">
        <v>43.3</v>
      </c>
      <c r="T20">
        <v>12.5</v>
      </c>
    </row>
    <row r="21" spans="1:20" x14ac:dyDescent="0.3">
      <c r="A21" t="s">
        <v>427</v>
      </c>
      <c r="B21">
        <v>171.249</v>
      </c>
      <c r="C21">
        <v>100</v>
      </c>
      <c r="D21">
        <v>0.111</v>
      </c>
      <c r="E21">
        <v>0.33200000000000002</v>
      </c>
      <c r="F21">
        <v>77.287000000000006</v>
      </c>
      <c r="G21">
        <v>3.6019999999999999</v>
      </c>
      <c r="H21">
        <v>90.328000000000003</v>
      </c>
      <c r="I21">
        <v>36.338000000000001</v>
      </c>
      <c r="J21">
        <v>2.0179999999999998</v>
      </c>
      <c r="K21">
        <v>230.04300000000001</v>
      </c>
      <c r="L21">
        <v>2.9039999999999999</v>
      </c>
      <c r="M21">
        <v>52.994999999999997</v>
      </c>
      <c r="N21">
        <v>2.9460000000000002</v>
      </c>
      <c r="O21">
        <v>0.92100000000000004</v>
      </c>
      <c r="P21">
        <v>2.9820000000000002</v>
      </c>
      <c r="Q21">
        <v>0</v>
      </c>
      <c r="R21">
        <v>42.573</v>
      </c>
      <c r="S21">
        <v>43.2</v>
      </c>
      <c r="T21">
        <v>12.5</v>
      </c>
    </row>
    <row r="22" spans="1:20" x14ac:dyDescent="0.3">
      <c r="A22" t="s">
        <v>428</v>
      </c>
      <c r="B22">
        <v>171.47</v>
      </c>
      <c r="C22">
        <v>100</v>
      </c>
      <c r="D22">
        <v>0.154</v>
      </c>
      <c r="E22">
        <v>0.34</v>
      </c>
      <c r="F22">
        <v>79.034999999999997</v>
      </c>
      <c r="G22">
        <v>3.7919999999999998</v>
      </c>
      <c r="H22">
        <v>90.441999999999993</v>
      </c>
      <c r="I22">
        <v>36.317</v>
      </c>
      <c r="J22">
        <v>2.0179999999999998</v>
      </c>
      <c r="K22">
        <v>230.37200000000001</v>
      </c>
      <c r="L22">
        <v>2.9</v>
      </c>
      <c r="M22">
        <v>52.948</v>
      </c>
      <c r="N22">
        <v>2.96</v>
      </c>
      <c r="O22">
        <v>0.92400000000000004</v>
      </c>
      <c r="P22">
        <v>2.9769999999999999</v>
      </c>
      <c r="Q22">
        <v>0</v>
      </c>
      <c r="R22">
        <v>42.597000000000001</v>
      </c>
      <c r="S22">
        <v>43.1</v>
      </c>
      <c r="T22">
        <v>12.5</v>
      </c>
    </row>
    <row r="23" spans="1:20" x14ac:dyDescent="0.3">
      <c r="A23" t="s">
        <v>429</v>
      </c>
      <c r="B23">
        <v>171.58699999999999</v>
      </c>
      <c r="C23">
        <v>100</v>
      </c>
      <c r="D23">
        <v>6.2E-2</v>
      </c>
      <c r="E23">
        <v>0.34899999999999998</v>
      </c>
      <c r="F23">
        <v>78.171000000000006</v>
      </c>
      <c r="G23">
        <v>3.661</v>
      </c>
      <c r="H23">
        <v>90.218000000000004</v>
      </c>
      <c r="I23">
        <v>36.207000000000001</v>
      </c>
      <c r="J23">
        <v>2.0169999999999999</v>
      </c>
      <c r="K23">
        <v>230.059</v>
      </c>
      <c r="L23">
        <v>2.9009999999999998</v>
      </c>
      <c r="M23">
        <v>52.82</v>
      </c>
      <c r="N23">
        <v>2.9529999999999998</v>
      </c>
      <c r="O23">
        <v>0.90400000000000003</v>
      </c>
      <c r="P23">
        <v>2.9910000000000001</v>
      </c>
      <c r="Q23">
        <v>0</v>
      </c>
      <c r="R23">
        <v>42.610999999999997</v>
      </c>
      <c r="S23">
        <v>43.1</v>
      </c>
      <c r="T23">
        <v>12.5</v>
      </c>
    </row>
    <row r="24" spans="1:20" x14ac:dyDescent="0.3">
      <c r="A24" t="s">
        <v>430</v>
      </c>
      <c r="B24">
        <v>171.077</v>
      </c>
      <c r="C24">
        <v>100</v>
      </c>
      <c r="D24">
        <v>6.8000000000000005E-2</v>
      </c>
      <c r="E24">
        <v>0.35499999999999998</v>
      </c>
      <c r="F24">
        <v>78.286000000000001</v>
      </c>
      <c r="G24">
        <v>3.6150000000000002</v>
      </c>
      <c r="H24">
        <v>90.195999999999998</v>
      </c>
      <c r="I24">
        <v>36.308999999999997</v>
      </c>
      <c r="J24">
        <v>2.0150000000000001</v>
      </c>
      <c r="K24">
        <v>230.10900000000001</v>
      </c>
      <c r="L24">
        <v>2.9</v>
      </c>
      <c r="M24">
        <v>52.871000000000002</v>
      </c>
      <c r="N24">
        <v>2.9489999999999998</v>
      </c>
      <c r="O24">
        <v>0.91700000000000004</v>
      </c>
      <c r="P24">
        <v>2.9630000000000001</v>
      </c>
      <c r="Q24">
        <v>0</v>
      </c>
      <c r="R24">
        <v>42.631</v>
      </c>
      <c r="S24">
        <v>43.1</v>
      </c>
      <c r="T24">
        <v>12.5</v>
      </c>
    </row>
    <row r="25" spans="1:20" ht="15" thickBot="1" x14ac:dyDescent="0.35">
      <c r="A25" t="s">
        <v>431</v>
      </c>
      <c r="B25">
        <v>171.42</v>
      </c>
      <c r="C25">
        <v>100</v>
      </c>
      <c r="D25">
        <v>6.5000000000000002E-2</v>
      </c>
      <c r="E25">
        <v>0.35</v>
      </c>
      <c r="F25">
        <v>78.614000000000004</v>
      </c>
      <c r="G25">
        <v>4.085</v>
      </c>
      <c r="H25">
        <v>90.168000000000006</v>
      </c>
      <c r="I25">
        <v>36.173999999999999</v>
      </c>
      <c r="J25">
        <v>2.016</v>
      </c>
      <c r="K25">
        <v>230.04300000000001</v>
      </c>
      <c r="L25">
        <v>2.9079999999999999</v>
      </c>
      <c r="M25">
        <v>52.853000000000002</v>
      </c>
      <c r="N25">
        <v>2.948</v>
      </c>
      <c r="O25">
        <v>0.90200000000000002</v>
      </c>
      <c r="P25">
        <v>2.9849999999999999</v>
      </c>
      <c r="Q25">
        <v>0</v>
      </c>
      <c r="R25">
        <v>42.667000000000002</v>
      </c>
      <c r="S25">
        <v>43.2</v>
      </c>
      <c r="T25">
        <v>12.5</v>
      </c>
    </row>
    <row r="26" spans="1:20" ht="15" thickBot="1" x14ac:dyDescent="0.35">
      <c r="A26" t="s">
        <v>0</v>
      </c>
      <c r="B26" s="1">
        <f t="shared" ref="B26:S26" si="0">AVERAGE(B6:B25)</f>
        <v>170.94454999999999</v>
      </c>
      <c r="C26" s="1">
        <f t="shared" si="0"/>
        <v>100</v>
      </c>
      <c r="D26" s="1">
        <f t="shared" si="0"/>
        <v>4.1500000000000002E-2</v>
      </c>
      <c r="E26" s="10">
        <f t="shared" si="0"/>
        <v>0.34809999999999997</v>
      </c>
      <c r="F26" s="1">
        <f t="shared" si="0"/>
        <v>78.54010000000001</v>
      </c>
      <c r="G26" s="1">
        <f t="shared" si="0"/>
        <v>3.6386999999999992</v>
      </c>
      <c r="H26" s="10">
        <f t="shared" si="0"/>
        <v>90.35799999999999</v>
      </c>
      <c r="I26" s="1">
        <f t="shared" si="0"/>
        <v>36.247450000000001</v>
      </c>
      <c r="J26" s="8">
        <f t="shared" si="0"/>
        <v>2.0165000000000002</v>
      </c>
      <c r="K26" s="1">
        <f t="shared" si="0"/>
        <v>230.17945</v>
      </c>
      <c r="L26" s="1">
        <f t="shared" si="0"/>
        <v>2.9248000000000003</v>
      </c>
      <c r="M26" s="1">
        <f t="shared" si="0"/>
        <v>52.877949999999984</v>
      </c>
      <c r="N26" s="1">
        <f t="shared" si="0"/>
        <v>2.9489999999999998</v>
      </c>
      <c r="O26" s="1">
        <f t="shared" si="0"/>
        <v>0.91575000000000029</v>
      </c>
      <c r="P26" s="1">
        <f t="shared" si="0"/>
        <v>2.9398500000000003</v>
      </c>
      <c r="Q26" s="1">
        <f t="shared" si="0"/>
        <v>0</v>
      </c>
      <c r="R26" s="1">
        <f t="shared" si="0"/>
        <v>42.6282</v>
      </c>
      <c r="S26" s="1">
        <f t="shared" si="0"/>
        <v>43.250000000000007</v>
      </c>
      <c r="T26" s="8">
        <f>AVERAGE(T6:T25)</f>
        <v>12.5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2.0240999999999998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B845-335A-4389-9C87-60BCF93E087E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5" sqref="L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0.45300925925925928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50.932162785251265</v>
      </c>
      <c r="M2" s="8">
        <f>(H26*0.001*60)*(K2/100)*(G2/I2)</f>
        <v>2.1317282018569288</v>
      </c>
      <c r="O2" s="9">
        <f>100*((E26*C2)/((E26*C2)+(M2*E2)))</f>
        <v>13.914132951337699</v>
      </c>
      <c r="Q2" s="10">
        <f>100*J26*(1/(((C2/3.6)*E26)+((E2/3.6)*M2)))</f>
        <v>12.152377333605051</v>
      </c>
      <c r="S2" s="6">
        <v>3.54</v>
      </c>
      <c r="U2" s="10">
        <f>100*((((G26*0.001*60)*(C26-D26)*(S2/3.6)))/(((C2/3.6)*E26)+((E2/3.6)*M2)))</f>
        <v>79.899458750627232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432</v>
      </c>
      <c r="B6">
        <v>202.55500000000001</v>
      </c>
      <c r="C6">
        <v>100</v>
      </c>
      <c r="D6">
        <v>5.548</v>
      </c>
      <c r="E6">
        <v>0.41699999999999998</v>
      </c>
      <c r="F6">
        <v>78.968999999999994</v>
      </c>
      <c r="G6">
        <v>4.9489999999999998</v>
      </c>
      <c r="H6">
        <v>97.274000000000001</v>
      </c>
      <c r="I6">
        <v>37.176000000000002</v>
      </c>
      <c r="J6">
        <v>4.1669999999999998</v>
      </c>
      <c r="K6">
        <v>230.30600000000001</v>
      </c>
      <c r="L6">
        <v>6.0519999999999996</v>
      </c>
      <c r="M6">
        <v>52.908000000000001</v>
      </c>
      <c r="N6">
        <v>5.9749999999999996</v>
      </c>
      <c r="O6">
        <v>0.94899999999999995</v>
      </c>
      <c r="P6">
        <v>2.89</v>
      </c>
      <c r="Q6">
        <v>0</v>
      </c>
      <c r="R6">
        <v>45.392000000000003</v>
      </c>
      <c r="S6">
        <v>47.4</v>
      </c>
      <c r="T6">
        <v>16</v>
      </c>
    </row>
    <row r="7" spans="1:21" x14ac:dyDescent="0.3">
      <c r="A7" t="s">
        <v>433</v>
      </c>
      <c r="B7">
        <v>202.49299999999999</v>
      </c>
      <c r="C7">
        <v>100</v>
      </c>
      <c r="D7">
        <v>5.7480000000000002</v>
      </c>
      <c r="E7">
        <v>0.41799999999999998</v>
      </c>
      <c r="F7">
        <v>78.512</v>
      </c>
      <c r="G7">
        <v>4.8310000000000004</v>
      </c>
      <c r="H7">
        <v>97.405000000000001</v>
      </c>
      <c r="I7">
        <v>37.146999999999998</v>
      </c>
      <c r="J7">
        <v>4.17</v>
      </c>
      <c r="K7">
        <v>230.191</v>
      </c>
      <c r="L7">
        <v>6.0540000000000003</v>
      </c>
      <c r="M7">
        <v>52.747</v>
      </c>
      <c r="N7">
        <v>5.9749999999999996</v>
      </c>
      <c r="O7">
        <v>0.93799999999999994</v>
      </c>
      <c r="P7">
        <v>2.8839999999999999</v>
      </c>
      <c r="Q7">
        <v>0</v>
      </c>
      <c r="R7">
        <v>45.408999999999999</v>
      </c>
      <c r="S7">
        <v>47.5</v>
      </c>
      <c r="T7">
        <v>16</v>
      </c>
    </row>
    <row r="8" spans="1:21" x14ac:dyDescent="0.3">
      <c r="A8" t="s">
        <v>434</v>
      </c>
      <c r="B8">
        <v>202.58099999999999</v>
      </c>
      <c r="C8">
        <v>100</v>
      </c>
      <c r="D8">
        <v>5.8470000000000004</v>
      </c>
      <c r="E8">
        <v>0.36</v>
      </c>
      <c r="F8">
        <v>79.137</v>
      </c>
      <c r="G8">
        <v>4.875</v>
      </c>
      <c r="H8">
        <v>97.194000000000003</v>
      </c>
      <c r="I8">
        <v>37.258000000000003</v>
      </c>
      <c r="J8">
        <v>4.1609999999999996</v>
      </c>
      <c r="K8">
        <v>230.125</v>
      </c>
      <c r="L8">
        <v>6.05</v>
      </c>
      <c r="M8">
        <v>52.82</v>
      </c>
      <c r="N8">
        <v>5.9660000000000002</v>
      </c>
      <c r="O8">
        <v>0.93799999999999994</v>
      </c>
      <c r="P8">
        <v>2.8849999999999998</v>
      </c>
      <c r="Q8">
        <v>0</v>
      </c>
      <c r="R8">
        <v>45.454000000000001</v>
      </c>
      <c r="S8">
        <v>47.5</v>
      </c>
      <c r="T8">
        <v>16</v>
      </c>
    </row>
    <row r="9" spans="1:21" x14ac:dyDescent="0.3">
      <c r="A9" t="s">
        <v>435</v>
      </c>
      <c r="B9">
        <v>202.38200000000001</v>
      </c>
      <c r="C9">
        <v>100</v>
      </c>
      <c r="D9">
        <v>5.89</v>
      </c>
      <c r="E9">
        <v>0.40500000000000003</v>
      </c>
      <c r="F9">
        <v>77.405000000000001</v>
      </c>
      <c r="G9">
        <v>4.6500000000000004</v>
      </c>
      <c r="H9">
        <v>97.319000000000003</v>
      </c>
      <c r="I9">
        <v>37.314999999999998</v>
      </c>
      <c r="J9">
        <v>4.1719999999999997</v>
      </c>
      <c r="K9">
        <v>230.38800000000001</v>
      </c>
      <c r="L9">
        <v>6.06</v>
      </c>
      <c r="M9">
        <v>52.859000000000002</v>
      </c>
      <c r="N9">
        <v>5.9779999999999998</v>
      </c>
      <c r="O9">
        <v>0.92200000000000004</v>
      </c>
      <c r="P9">
        <v>2.8969999999999998</v>
      </c>
      <c r="Q9">
        <v>0</v>
      </c>
      <c r="R9">
        <v>45.506999999999998</v>
      </c>
      <c r="S9">
        <v>47.4</v>
      </c>
      <c r="T9">
        <v>16</v>
      </c>
    </row>
    <row r="10" spans="1:21" x14ac:dyDescent="0.3">
      <c r="A10" t="s">
        <v>436</v>
      </c>
      <c r="B10">
        <v>202.21799999999999</v>
      </c>
      <c r="C10">
        <v>100</v>
      </c>
      <c r="D10">
        <v>6.1589999999999998</v>
      </c>
      <c r="E10">
        <v>0.42299999999999999</v>
      </c>
      <c r="F10">
        <v>78.503</v>
      </c>
      <c r="G10">
        <v>4.8170000000000002</v>
      </c>
      <c r="H10">
        <v>97.491</v>
      </c>
      <c r="I10">
        <v>37.307000000000002</v>
      </c>
      <c r="J10">
        <v>4.1630000000000003</v>
      </c>
      <c r="K10">
        <v>227.92400000000001</v>
      </c>
      <c r="L10">
        <v>6.05</v>
      </c>
      <c r="M10">
        <v>52.7</v>
      </c>
      <c r="N10">
        <v>5.9729999999999999</v>
      </c>
      <c r="O10">
        <v>0.94599999999999995</v>
      </c>
      <c r="P10">
        <v>2.8839999999999999</v>
      </c>
      <c r="Q10">
        <v>0</v>
      </c>
      <c r="R10">
        <v>45.53</v>
      </c>
      <c r="S10">
        <v>47.4</v>
      </c>
      <c r="T10">
        <v>16</v>
      </c>
    </row>
    <row r="11" spans="1:21" x14ac:dyDescent="0.3">
      <c r="A11" t="s">
        <v>437</v>
      </c>
      <c r="B11">
        <v>202.65199999999999</v>
      </c>
      <c r="C11">
        <v>100</v>
      </c>
      <c r="D11">
        <v>6.3460000000000001</v>
      </c>
      <c r="E11">
        <v>0.38200000000000001</v>
      </c>
      <c r="F11">
        <v>79.268000000000001</v>
      </c>
      <c r="G11">
        <v>5.22</v>
      </c>
      <c r="H11">
        <v>97.397000000000006</v>
      </c>
      <c r="I11">
        <v>37.162999999999997</v>
      </c>
      <c r="J11">
        <v>4.17</v>
      </c>
      <c r="K11">
        <v>230.273</v>
      </c>
      <c r="L11">
        <v>6.0570000000000004</v>
      </c>
      <c r="M11">
        <v>52.82</v>
      </c>
      <c r="N11">
        <v>5.9740000000000002</v>
      </c>
      <c r="O11">
        <v>0.92200000000000004</v>
      </c>
      <c r="P11">
        <v>2.903</v>
      </c>
      <c r="Q11">
        <v>0</v>
      </c>
      <c r="R11">
        <v>45.555999999999997</v>
      </c>
      <c r="S11">
        <v>47.5</v>
      </c>
      <c r="T11">
        <v>16</v>
      </c>
    </row>
    <row r="12" spans="1:21" x14ac:dyDescent="0.3">
      <c r="A12" t="s">
        <v>438</v>
      </c>
      <c r="B12">
        <v>203.12299999999999</v>
      </c>
      <c r="C12">
        <v>100</v>
      </c>
      <c r="D12">
        <v>6.5010000000000003</v>
      </c>
      <c r="E12">
        <v>0.438</v>
      </c>
      <c r="F12">
        <v>78.331999999999994</v>
      </c>
      <c r="G12">
        <v>4.4660000000000002</v>
      </c>
      <c r="H12">
        <v>97.454999999999998</v>
      </c>
      <c r="I12">
        <v>37.18</v>
      </c>
      <c r="J12">
        <v>4.1630000000000003</v>
      </c>
      <c r="K12">
        <v>230.07599999999999</v>
      </c>
      <c r="L12">
        <v>6.0490000000000004</v>
      </c>
      <c r="M12">
        <v>52.844999999999999</v>
      </c>
      <c r="N12">
        <v>5.9790000000000001</v>
      </c>
      <c r="O12">
        <v>0.94</v>
      </c>
      <c r="P12">
        <v>2.887</v>
      </c>
      <c r="Q12">
        <v>0</v>
      </c>
      <c r="R12">
        <v>45.567</v>
      </c>
      <c r="S12">
        <v>47.5</v>
      </c>
      <c r="T12">
        <v>16</v>
      </c>
    </row>
    <row r="13" spans="1:21" x14ac:dyDescent="0.3">
      <c r="A13" t="s">
        <v>439</v>
      </c>
      <c r="B13">
        <v>203.06299999999999</v>
      </c>
      <c r="C13">
        <v>100</v>
      </c>
      <c r="D13">
        <v>6.4969999999999999</v>
      </c>
      <c r="E13">
        <v>0.40600000000000003</v>
      </c>
      <c r="F13">
        <v>77.230999999999995</v>
      </c>
      <c r="G13">
        <v>5.07</v>
      </c>
      <c r="H13">
        <v>97.623999999999995</v>
      </c>
      <c r="I13">
        <v>38.637999999999998</v>
      </c>
      <c r="J13">
        <v>4.17</v>
      </c>
      <c r="K13">
        <v>230.536</v>
      </c>
      <c r="L13">
        <v>6.06</v>
      </c>
      <c r="M13">
        <v>52.786000000000001</v>
      </c>
      <c r="N13">
        <v>5.9710000000000001</v>
      </c>
      <c r="O13">
        <v>0.92600000000000005</v>
      </c>
      <c r="P13">
        <v>2.903</v>
      </c>
      <c r="Q13">
        <v>0</v>
      </c>
      <c r="R13">
        <v>45.569000000000003</v>
      </c>
      <c r="S13">
        <v>47.3</v>
      </c>
      <c r="T13">
        <v>16</v>
      </c>
    </row>
    <row r="14" spans="1:21" x14ac:dyDescent="0.3">
      <c r="A14" t="s">
        <v>440</v>
      </c>
      <c r="B14">
        <v>202.792</v>
      </c>
      <c r="C14">
        <v>100</v>
      </c>
      <c r="D14">
        <v>6.415</v>
      </c>
      <c r="E14">
        <v>0.38200000000000001</v>
      </c>
      <c r="F14">
        <v>78.962999999999994</v>
      </c>
      <c r="G14">
        <v>5.1360000000000001</v>
      </c>
      <c r="H14">
        <v>97.537000000000006</v>
      </c>
      <c r="I14">
        <v>37.162999999999997</v>
      </c>
      <c r="J14">
        <v>4.1639999999999997</v>
      </c>
      <c r="K14">
        <v>230.04300000000001</v>
      </c>
      <c r="L14">
        <v>6.0460000000000003</v>
      </c>
      <c r="M14">
        <v>52.771000000000001</v>
      </c>
      <c r="N14">
        <v>5.9770000000000003</v>
      </c>
      <c r="O14">
        <v>0.92400000000000004</v>
      </c>
      <c r="P14">
        <v>2.8690000000000002</v>
      </c>
      <c r="Q14">
        <v>0</v>
      </c>
      <c r="R14">
        <v>45.607999999999997</v>
      </c>
      <c r="S14">
        <v>47.4</v>
      </c>
      <c r="T14">
        <v>16</v>
      </c>
    </row>
    <row r="15" spans="1:21" x14ac:dyDescent="0.3">
      <c r="A15" t="s">
        <v>441</v>
      </c>
      <c r="B15">
        <v>203.12799999999999</v>
      </c>
      <c r="C15">
        <v>100</v>
      </c>
      <c r="D15">
        <v>6.258</v>
      </c>
      <c r="E15">
        <v>0.41899999999999998</v>
      </c>
      <c r="F15">
        <v>78.840999999999994</v>
      </c>
      <c r="G15">
        <v>5.0049999999999999</v>
      </c>
      <c r="H15">
        <v>97.555999999999997</v>
      </c>
      <c r="I15">
        <v>37.258000000000003</v>
      </c>
      <c r="J15">
        <v>4.1719999999999997</v>
      </c>
      <c r="K15">
        <v>230.30600000000001</v>
      </c>
      <c r="L15">
        <v>6.06</v>
      </c>
      <c r="M15">
        <v>52.774000000000001</v>
      </c>
      <c r="N15">
        <v>5.9770000000000003</v>
      </c>
      <c r="O15">
        <v>0.94</v>
      </c>
      <c r="P15">
        <v>2.8839999999999999</v>
      </c>
      <c r="Q15">
        <v>0</v>
      </c>
      <c r="R15">
        <v>45.624000000000002</v>
      </c>
      <c r="S15">
        <v>47.4</v>
      </c>
      <c r="T15">
        <v>16</v>
      </c>
    </row>
    <row r="16" spans="1:21" x14ac:dyDescent="0.3">
      <c r="A16" t="s">
        <v>442</v>
      </c>
      <c r="B16">
        <v>203.09100000000001</v>
      </c>
      <c r="C16">
        <v>100</v>
      </c>
      <c r="D16">
        <v>6.2149999999999999</v>
      </c>
      <c r="E16">
        <v>0.36699999999999999</v>
      </c>
      <c r="F16">
        <v>77.391999999999996</v>
      </c>
      <c r="G16">
        <v>4.8289999999999997</v>
      </c>
      <c r="H16">
        <v>97.736000000000004</v>
      </c>
      <c r="I16">
        <v>37.270000000000003</v>
      </c>
      <c r="J16">
        <v>4.165</v>
      </c>
      <c r="K16">
        <v>230.01</v>
      </c>
      <c r="L16">
        <v>6.05</v>
      </c>
      <c r="M16">
        <v>52.749000000000002</v>
      </c>
      <c r="N16">
        <v>5.9710000000000001</v>
      </c>
      <c r="O16">
        <v>0.92500000000000004</v>
      </c>
      <c r="P16">
        <v>2.9079999999999999</v>
      </c>
      <c r="Q16">
        <v>0</v>
      </c>
      <c r="R16">
        <v>45.658999999999999</v>
      </c>
      <c r="S16">
        <v>47.4</v>
      </c>
      <c r="T16">
        <v>16</v>
      </c>
    </row>
    <row r="17" spans="1:20" x14ac:dyDescent="0.3">
      <c r="A17" t="s">
        <v>443</v>
      </c>
      <c r="B17">
        <v>203.25399999999999</v>
      </c>
      <c r="C17">
        <v>100</v>
      </c>
      <c r="D17">
        <v>6.1619999999999999</v>
      </c>
      <c r="E17">
        <v>0.39700000000000002</v>
      </c>
      <c r="F17">
        <v>78.989000000000004</v>
      </c>
      <c r="G17">
        <v>5.2069999999999999</v>
      </c>
      <c r="H17">
        <v>97.662000000000006</v>
      </c>
      <c r="I17">
        <v>37.246000000000002</v>
      </c>
      <c r="J17">
        <v>4.1689999999999996</v>
      </c>
      <c r="K17">
        <v>230.37200000000001</v>
      </c>
      <c r="L17">
        <v>6.0609999999999999</v>
      </c>
      <c r="M17">
        <v>52.698</v>
      </c>
      <c r="N17">
        <v>5.9749999999999996</v>
      </c>
      <c r="O17">
        <v>0.93500000000000005</v>
      </c>
      <c r="P17">
        <v>2.895</v>
      </c>
      <c r="Q17">
        <v>0</v>
      </c>
      <c r="R17">
        <v>45.71</v>
      </c>
      <c r="S17">
        <v>47.5</v>
      </c>
      <c r="T17">
        <v>16</v>
      </c>
    </row>
    <row r="18" spans="1:20" x14ac:dyDescent="0.3">
      <c r="A18" t="s">
        <v>444</v>
      </c>
      <c r="B18">
        <v>203.69499999999999</v>
      </c>
      <c r="C18">
        <v>100</v>
      </c>
      <c r="D18">
        <v>6.1849999999999996</v>
      </c>
      <c r="E18">
        <v>0.435</v>
      </c>
      <c r="F18">
        <v>78.775000000000006</v>
      </c>
      <c r="G18">
        <v>5.1820000000000004</v>
      </c>
      <c r="H18">
        <v>97.882999999999996</v>
      </c>
      <c r="I18">
        <v>37.225000000000001</v>
      </c>
      <c r="J18">
        <v>4.165</v>
      </c>
      <c r="K18">
        <v>229.977</v>
      </c>
      <c r="L18">
        <v>6.056</v>
      </c>
      <c r="M18">
        <v>52.854999999999997</v>
      </c>
      <c r="N18">
        <v>5.9749999999999996</v>
      </c>
      <c r="O18">
        <v>0.92900000000000005</v>
      </c>
      <c r="P18">
        <v>2.8769999999999998</v>
      </c>
      <c r="Q18">
        <v>0</v>
      </c>
      <c r="R18">
        <v>45.764000000000003</v>
      </c>
      <c r="S18">
        <v>47.3</v>
      </c>
      <c r="T18">
        <v>16</v>
      </c>
    </row>
    <row r="19" spans="1:20" x14ac:dyDescent="0.3">
      <c r="A19" t="s">
        <v>445</v>
      </c>
      <c r="B19">
        <v>203.37</v>
      </c>
      <c r="C19">
        <v>100</v>
      </c>
      <c r="D19">
        <v>6.29</v>
      </c>
      <c r="E19">
        <v>0.42499999999999999</v>
      </c>
      <c r="F19">
        <v>79.748000000000005</v>
      </c>
      <c r="G19">
        <v>5.0010000000000003</v>
      </c>
      <c r="H19">
        <v>97.837999999999994</v>
      </c>
      <c r="I19">
        <v>37.061</v>
      </c>
      <c r="J19">
        <v>4.1719999999999997</v>
      </c>
      <c r="K19">
        <v>230.339</v>
      </c>
      <c r="L19">
        <v>6.0549999999999997</v>
      </c>
      <c r="M19">
        <v>52.871000000000002</v>
      </c>
      <c r="N19">
        <v>5.9729999999999999</v>
      </c>
      <c r="O19">
        <v>0.94799999999999995</v>
      </c>
      <c r="P19">
        <v>2.8919999999999999</v>
      </c>
      <c r="Q19">
        <v>0</v>
      </c>
      <c r="R19">
        <v>45.795000000000002</v>
      </c>
      <c r="S19">
        <v>47.4</v>
      </c>
      <c r="T19">
        <v>16</v>
      </c>
    </row>
    <row r="20" spans="1:20" x14ac:dyDescent="0.3">
      <c r="A20" t="s">
        <v>446</v>
      </c>
      <c r="B20">
        <v>203.34700000000001</v>
      </c>
      <c r="C20">
        <v>100</v>
      </c>
      <c r="D20">
        <v>6.2610000000000001</v>
      </c>
      <c r="E20">
        <v>0.376</v>
      </c>
      <c r="F20">
        <v>79.465000000000003</v>
      </c>
      <c r="G20">
        <v>4.76</v>
      </c>
      <c r="H20">
        <v>97.858000000000004</v>
      </c>
      <c r="I20">
        <v>37.200000000000003</v>
      </c>
      <c r="J20">
        <v>4.165</v>
      </c>
      <c r="K20">
        <v>230.01</v>
      </c>
      <c r="L20">
        <v>6.0529999999999999</v>
      </c>
      <c r="M20">
        <v>52.726999999999997</v>
      </c>
      <c r="N20">
        <v>5.9779999999999998</v>
      </c>
      <c r="O20">
        <v>0.94399999999999995</v>
      </c>
      <c r="P20">
        <v>2.8929999999999998</v>
      </c>
      <c r="Q20">
        <v>0</v>
      </c>
      <c r="R20">
        <v>45.825000000000003</v>
      </c>
      <c r="S20">
        <v>47.5</v>
      </c>
      <c r="T20">
        <v>16</v>
      </c>
    </row>
    <row r="21" spans="1:20" x14ac:dyDescent="0.3">
      <c r="A21" t="s">
        <v>447</v>
      </c>
      <c r="B21">
        <v>203.61699999999999</v>
      </c>
      <c r="C21">
        <v>100</v>
      </c>
      <c r="D21">
        <v>6.29</v>
      </c>
      <c r="E21">
        <v>0.41499999999999998</v>
      </c>
      <c r="F21">
        <v>79.268000000000001</v>
      </c>
      <c r="G21">
        <v>5.1310000000000002</v>
      </c>
      <c r="H21">
        <v>97.906999999999996</v>
      </c>
      <c r="I21">
        <v>37.200000000000003</v>
      </c>
      <c r="J21">
        <v>4.1689999999999996</v>
      </c>
      <c r="K21">
        <v>230.322</v>
      </c>
      <c r="L21">
        <v>6.0590000000000002</v>
      </c>
      <c r="M21">
        <v>52.722999999999999</v>
      </c>
      <c r="N21">
        <v>5.9770000000000003</v>
      </c>
      <c r="O21">
        <v>0.94599999999999995</v>
      </c>
      <c r="P21">
        <v>2.875</v>
      </c>
      <c r="Q21">
        <v>0</v>
      </c>
      <c r="R21">
        <v>45.841000000000001</v>
      </c>
      <c r="S21">
        <v>47.4</v>
      </c>
      <c r="T21">
        <v>16</v>
      </c>
    </row>
    <row r="22" spans="1:20" x14ac:dyDescent="0.3">
      <c r="A22" t="s">
        <v>448</v>
      </c>
      <c r="B22">
        <v>203.87100000000001</v>
      </c>
      <c r="C22">
        <v>100</v>
      </c>
      <c r="D22">
        <v>6.0410000000000004</v>
      </c>
      <c r="E22">
        <v>0.41799999999999998</v>
      </c>
      <c r="F22">
        <v>78.584999999999994</v>
      </c>
      <c r="G22">
        <v>4.9260000000000002</v>
      </c>
      <c r="H22">
        <v>97.938000000000002</v>
      </c>
      <c r="I22">
        <v>37.146999999999998</v>
      </c>
      <c r="J22">
        <v>4.1660000000000004</v>
      </c>
      <c r="K22">
        <v>230.142</v>
      </c>
      <c r="L22">
        <v>6.165</v>
      </c>
      <c r="M22">
        <v>52.598999999999997</v>
      </c>
      <c r="N22">
        <v>5.9740000000000002</v>
      </c>
      <c r="O22">
        <v>0.93100000000000005</v>
      </c>
      <c r="P22">
        <v>2.9129999999999998</v>
      </c>
      <c r="Q22">
        <v>0</v>
      </c>
      <c r="R22">
        <v>45.890999999999998</v>
      </c>
      <c r="S22">
        <v>47.2</v>
      </c>
      <c r="T22">
        <v>16</v>
      </c>
    </row>
    <row r="23" spans="1:20" x14ac:dyDescent="0.3">
      <c r="A23" t="s">
        <v>449</v>
      </c>
      <c r="B23">
        <v>203.58199999999999</v>
      </c>
      <c r="C23">
        <v>100</v>
      </c>
      <c r="D23">
        <v>6.1820000000000004</v>
      </c>
      <c r="E23">
        <v>0.36599999999999999</v>
      </c>
      <c r="F23">
        <v>79.393000000000001</v>
      </c>
      <c r="G23">
        <v>5.1079999999999997</v>
      </c>
      <c r="H23">
        <v>98.066000000000003</v>
      </c>
      <c r="I23">
        <v>37.020000000000003</v>
      </c>
      <c r="J23">
        <v>4.4710000000000001</v>
      </c>
      <c r="K23">
        <v>230.339</v>
      </c>
      <c r="L23">
        <v>6.5259999999999998</v>
      </c>
      <c r="M23">
        <v>52.615000000000002</v>
      </c>
      <c r="N23">
        <v>6.58</v>
      </c>
      <c r="O23">
        <v>0.93600000000000005</v>
      </c>
      <c r="P23">
        <v>2.8849999999999998</v>
      </c>
      <c r="Q23">
        <v>0</v>
      </c>
      <c r="R23">
        <v>45.908999999999999</v>
      </c>
      <c r="S23">
        <v>47.2</v>
      </c>
      <c r="T23">
        <v>16</v>
      </c>
    </row>
    <row r="24" spans="1:20" x14ac:dyDescent="0.3">
      <c r="A24" t="s">
        <v>450</v>
      </c>
      <c r="B24">
        <v>204.13</v>
      </c>
      <c r="C24">
        <v>100</v>
      </c>
      <c r="D24">
        <v>6.3559999999999999</v>
      </c>
      <c r="E24">
        <v>0.437</v>
      </c>
      <c r="F24">
        <v>79.826999999999998</v>
      </c>
      <c r="G24">
        <v>5.1429999999999998</v>
      </c>
      <c r="H24">
        <v>98.042000000000002</v>
      </c>
      <c r="I24">
        <v>37.04</v>
      </c>
      <c r="J24">
        <v>4.16</v>
      </c>
      <c r="K24">
        <v>230.01</v>
      </c>
      <c r="L24">
        <v>5.9139999999999997</v>
      </c>
      <c r="M24">
        <v>52.597000000000001</v>
      </c>
      <c r="N24">
        <v>5.976</v>
      </c>
      <c r="O24">
        <v>0.93100000000000005</v>
      </c>
      <c r="P24">
        <v>2.9060000000000001</v>
      </c>
      <c r="Q24">
        <v>0</v>
      </c>
      <c r="R24">
        <v>45.930999999999997</v>
      </c>
      <c r="S24">
        <v>47.5</v>
      </c>
      <c r="T24">
        <v>16</v>
      </c>
    </row>
    <row r="25" spans="1:20" ht="15" thickBot="1" x14ac:dyDescent="0.35">
      <c r="A25" t="s">
        <v>451</v>
      </c>
      <c r="B25">
        <v>204.80799999999999</v>
      </c>
      <c r="C25">
        <v>100</v>
      </c>
      <c r="D25">
        <v>6.524</v>
      </c>
      <c r="E25">
        <v>0.38800000000000001</v>
      </c>
      <c r="F25">
        <v>78.114999999999995</v>
      </c>
      <c r="G25">
        <v>5.0469999999999997</v>
      </c>
      <c r="H25">
        <v>98.016999999999996</v>
      </c>
      <c r="I25">
        <v>37.020000000000003</v>
      </c>
      <c r="J25">
        <v>4.1669999999999998</v>
      </c>
      <c r="K25">
        <v>230.30600000000001</v>
      </c>
      <c r="L25">
        <v>5.9580000000000002</v>
      </c>
      <c r="M25">
        <v>52.761000000000003</v>
      </c>
      <c r="N25">
        <v>5.9770000000000003</v>
      </c>
      <c r="O25">
        <v>0.94</v>
      </c>
      <c r="P25">
        <v>2.8969999999999998</v>
      </c>
      <c r="Q25">
        <v>0</v>
      </c>
      <c r="R25">
        <v>45.951000000000001</v>
      </c>
      <c r="S25">
        <v>47.5</v>
      </c>
      <c r="T25">
        <v>16</v>
      </c>
    </row>
    <row r="26" spans="1:20" ht="15" thickBot="1" x14ac:dyDescent="0.35">
      <c r="A26" t="s">
        <v>0</v>
      </c>
      <c r="B26" s="1">
        <f t="shared" ref="B26:S26" si="0">AVERAGE(B6:B25)</f>
        <v>203.18760000000003</v>
      </c>
      <c r="C26" s="1">
        <f t="shared" si="0"/>
        <v>100</v>
      </c>
      <c r="D26" s="1">
        <f t="shared" si="0"/>
        <v>6.1857500000000005</v>
      </c>
      <c r="E26" s="10">
        <f t="shared" si="0"/>
        <v>0.4037</v>
      </c>
      <c r="F26" s="1">
        <f t="shared" si="0"/>
        <v>78.735899999999987</v>
      </c>
      <c r="G26" s="1">
        <f t="shared" si="0"/>
        <v>4.9676500000000008</v>
      </c>
      <c r="H26" s="10">
        <f t="shared" si="0"/>
        <v>97.659950000000009</v>
      </c>
      <c r="I26" s="1">
        <f t="shared" si="0"/>
        <v>37.251700000000007</v>
      </c>
      <c r="J26" s="8">
        <f t="shared" si="0"/>
        <v>4.1820499999999994</v>
      </c>
      <c r="K26" s="1">
        <f t="shared" si="0"/>
        <v>230.09974999999994</v>
      </c>
      <c r="L26" s="1">
        <f t="shared" si="0"/>
        <v>6.0717499999999998</v>
      </c>
      <c r="M26" s="1">
        <f t="shared" si="0"/>
        <v>52.761249999999997</v>
      </c>
      <c r="N26" s="1">
        <f t="shared" si="0"/>
        <v>6.0050499999999998</v>
      </c>
      <c r="O26" s="1">
        <f t="shared" si="0"/>
        <v>0.9355</v>
      </c>
      <c r="P26" s="1">
        <f t="shared" si="0"/>
        <v>2.8913500000000001</v>
      </c>
      <c r="Q26" s="1">
        <f t="shared" si="0"/>
        <v>0</v>
      </c>
      <c r="R26" s="1">
        <f t="shared" si="0"/>
        <v>45.674600000000005</v>
      </c>
      <c r="S26" s="1">
        <f t="shared" si="0"/>
        <v>47.410000000000004</v>
      </c>
      <c r="T26" s="8">
        <f>AVERAGE(T6:T25)</f>
        <v>16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1.9558500000000001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571A-C537-4ED4-9194-F26693995F01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0.45408564814814817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51.514822390770476</v>
      </c>
      <c r="M2" s="8">
        <f>(H26*0.001*60)*(K2/100)*(G2/I2)</f>
        <v>2.2976468140113422</v>
      </c>
      <c r="O2" s="9">
        <f>100*((E26*C2)/((E26*C2)+(M2*E2)))</f>
        <v>14.383090795039791</v>
      </c>
      <c r="Q2" s="10">
        <f>100*J26*(1/(((C2/3.6)*E26)+((E2/3.6)*M2)))</f>
        <v>15.783442471103394</v>
      </c>
      <c r="S2" s="6">
        <v>3.54</v>
      </c>
      <c r="U2" s="10">
        <f>100*((((G26*0.001*60)*(C26-D26)*(S2/3.6)))/(((C2/3.6)*E26)+((E2/3.6)*M2)))</f>
        <v>92.417857662178349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452</v>
      </c>
      <c r="B6">
        <v>231.637</v>
      </c>
      <c r="C6">
        <v>100</v>
      </c>
      <c r="D6">
        <v>11.53</v>
      </c>
      <c r="E6">
        <v>0.38700000000000001</v>
      </c>
      <c r="F6">
        <v>79.793999999999997</v>
      </c>
      <c r="G6">
        <v>6.7009999999999996</v>
      </c>
      <c r="H6">
        <v>102.19199999999999</v>
      </c>
      <c r="I6">
        <v>39.347999999999999</v>
      </c>
      <c r="J6">
        <v>5.899</v>
      </c>
      <c r="K6">
        <v>230.45400000000001</v>
      </c>
      <c r="L6">
        <v>8.5489999999999995</v>
      </c>
      <c r="M6">
        <v>52.69</v>
      </c>
      <c r="N6">
        <v>8.4830000000000005</v>
      </c>
      <c r="O6">
        <v>0.95</v>
      </c>
      <c r="P6">
        <v>2.8079999999999998</v>
      </c>
      <c r="Q6">
        <v>0</v>
      </c>
      <c r="R6">
        <v>48.192999999999998</v>
      </c>
      <c r="S6">
        <v>51.3</v>
      </c>
      <c r="T6">
        <v>19</v>
      </c>
    </row>
    <row r="7" spans="1:21" x14ac:dyDescent="0.3">
      <c r="A7" t="s">
        <v>453</v>
      </c>
      <c r="B7">
        <v>232.33199999999999</v>
      </c>
      <c r="C7">
        <v>100</v>
      </c>
      <c r="D7">
        <v>11.638999999999999</v>
      </c>
      <c r="E7">
        <v>0.53700000000000003</v>
      </c>
      <c r="F7">
        <v>78.784999999999997</v>
      </c>
      <c r="G7">
        <v>6.577</v>
      </c>
      <c r="H7">
        <v>104.04</v>
      </c>
      <c r="I7">
        <v>37.886000000000003</v>
      </c>
      <c r="J7">
        <v>5.8979999999999997</v>
      </c>
      <c r="K7">
        <v>230.339</v>
      </c>
      <c r="L7">
        <v>8.5440000000000005</v>
      </c>
      <c r="M7">
        <v>52.588999999999999</v>
      </c>
      <c r="N7">
        <v>8.4830000000000005</v>
      </c>
      <c r="O7">
        <v>0.92900000000000005</v>
      </c>
      <c r="P7">
        <v>2.8239999999999998</v>
      </c>
      <c r="Q7">
        <v>0</v>
      </c>
      <c r="R7">
        <v>48.055999999999997</v>
      </c>
      <c r="S7">
        <v>51.2</v>
      </c>
      <c r="T7">
        <v>19</v>
      </c>
    </row>
    <row r="8" spans="1:21" x14ac:dyDescent="0.3">
      <c r="A8" t="s">
        <v>454</v>
      </c>
      <c r="B8">
        <v>232.48500000000001</v>
      </c>
      <c r="C8">
        <v>100</v>
      </c>
      <c r="D8">
        <v>11.685</v>
      </c>
      <c r="E8">
        <v>0.46800000000000003</v>
      </c>
      <c r="F8">
        <v>80.144999999999996</v>
      </c>
      <c r="G8">
        <v>6.4160000000000004</v>
      </c>
      <c r="H8">
        <v>103.72199999999999</v>
      </c>
      <c r="I8">
        <v>37.968000000000004</v>
      </c>
      <c r="J8">
        <v>5.9029999999999996</v>
      </c>
      <c r="K8">
        <v>230.58500000000001</v>
      </c>
      <c r="L8">
        <v>8.5500000000000007</v>
      </c>
      <c r="M8">
        <v>52.688000000000002</v>
      </c>
      <c r="N8">
        <v>8.4849999999999994</v>
      </c>
      <c r="O8">
        <v>0.91500000000000004</v>
      </c>
      <c r="P8">
        <v>2.8210000000000002</v>
      </c>
      <c r="Q8">
        <v>0</v>
      </c>
      <c r="R8">
        <v>48.08</v>
      </c>
      <c r="S8">
        <v>51.3</v>
      </c>
      <c r="T8">
        <v>19</v>
      </c>
    </row>
    <row r="9" spans="1:21" x14ac:dyDescent="0.3">
      <c r="A9" t="s">
        <v>455</v>
      </c>
      <c r="B9">
        <v>232.714</v>
      </c>
      <c r="C9">
        <v>100</v>
      </c>
      <c r="D9">
        <v>11.612</v>
      </c>
      <c r="E9">
        <v>0.41399999999999998</v>
      </c>
      <c r="F9">
        <v>79.179000000000002</v>
      </c>
      <c r="G9">
        <v>6.6420000000000003</v>
      </c>
      <c r="H9">
        <v>103.974</v>
      </c>
      <c r="I9">
        <v>37.848999999999997</v>
      </c>
      <c r="J9">
        <v>5.899</v>
      </c>
      <c r="K9">
        <v>230.28899999999999</v>
      </c>
      <c r="L9">
        <v>8.5419999999999998</v>
      </c>
      <c r="M9">
        <v>52.603000000000002</v>
      </c>
      <c r="N9">
        <v>8.4909999999999997</v>
      </c>
      <c r="O9">
        <v>0.93600000000000005</v>
      </c>
      <c r="P9">
        <v>2.8220000000000001</v>
      </c>
      <c r="Q9">
        <v>0</v>
      </c>
      <c r="R9">
        <v>48.08</v>
      </c>
      <c r="S9">
        <v>51.3</v>
      </c>
      <c r="T9">
        <v>19</v>
      </c>
    </row>
    <row r="10" spans="1:21" x14ac:dyDescent="0.3">
      <c r="A10" t="s">
        <v>456</v>
      </c>
      <c r="B10">
        <v>232.43</v>
      </c>
      <c r="C10">
        <v>100</v>
      </c>
      <c r="D10">
        <v>11.542999999999999</v>
      </c>
      <c r="E10">
        <v>0.50800000000000001</v>
      </c>
      <c r="F10">
        <v>79.826999999999998</v>
      </c>
      <c r="G10">
        <v>6.9260000000000002</v>
      </c>
      <c r="H10">
        <v>104.188</v>
      </c>
      <c r="I10">
        <v>37.89</v>
      </c>
      <c r="J10">
        <v>5.9009999999999998</v>
      </c>
      <c r="K10">
        <v>230.47</v>
      </c>
      <c r="L10">
        <v>8.5419999999999998</v>
      </c>
      <c r="M10">
        <v>52.683999999999997</v>
      </c>
      <c r="N10">
        <v>8.4879999999999995</v>
      </c>
      <c r="O10">
        <v>0.93</v>
      </c>
      <c r="P10">
        <v>2.8130000000000002</v>
      </c>
      <c r="Q10">
        <v>0</v>
      </c>
      <c r="R10">
        <v>48.17</v>
      </c>
      <c r="S10">
        <v>51.1</v>
      </c>
      <c r="T10">
        <v>19</v>
      </c>
    </row>
    <row r="11" spans="1:21" x14ac:dyDescent="0.3">
      <c r="A11" t="s">
        <v>457</v>
      </c>
      <c r="B11">
        <v>232.541</v>
      </c>
      <c r="C11">
        <v>100</v>
      </c>
      <c r="D11">
        <v>11.445</v>
      </c>
      <c r="E11">
        <v>0.39700000000000002</v>
      </c>
      <c r="F11">
        <v>79.471999999999994</v>
      </c>
      <c r="G11">
        <v>6.657</v>
      </c>
      <c r="H11">
        <v>104.319</v>
      </c>
      <c r="I11">
        <v>37.881999999999998</v>
      </c>
      <c r="J11">
        <v>5.9009999999999998</v>
      </c>
      <c r="K11">
        <v>230.37200000000001</v>
      </c>
      <c r="L11">
        <v>8.5449999999999999</v>
      </c>
      <c r="M11">
        <v>52.776000000000003</v>
      </c>
      <c r="N11">
        <v>8.4860000000000007</v>
      </c>
      <c r="O11">
        <v>0.93700000000000006</v>
      </c>
      <c r="P11">
        <v>2.8149999999999999</v>
      </c>
      <c r="Q11">
        <v>0</v>
      </c>
      <c r="R11">
        <v>48.314</v>
      </c>
      <c r="S11">
        <v>51.1</v>
      </c>
      <c r="T11">
        <v>19</v>
      </c>
    </row>
    <row r="12" spans="1:21" x14ac:dyDescent="0.3">
      <c r="A12" t="s">
        <v>458</v>
      </c>
      <c r="B12">
        <v>232.62700000000001</v>
      </c>
      <c r="C12">
        <v>100</v>
      </c>
      <c r="D12">
        <v>11.425000000000001</v>
      </c>
      <c r="E12">
        <v>0.47199999999999998</v>
      </c>
      <c r="F12">
        <v>79.656000000000006</v>
      </c>
      <c r="G12">
        <v>6.7060000000000004</v>
      </c>
      <c r="H12">
        <v>104.315</v>
      </c>
      <c r="I12">
        <v>38.03</v>
      </c>
      <c r="J12">
        <v>5.9039999999999999</v>
      </c>
      <c r="K12">
        <v>230.667</v>
      </c>
      <c r="L12">
        <v>8.548</v>
      </c>
      <c r="M12">
        <v>52.728999999999999</v>
      </c>
      <c r="N12">
        <v>8.4890000000000008</v>
      </c>
      <c r="O12">
        <v>0.93400000000000005</v>
      </c>
      <c r="P12">
        <v>2.827</v>
      </c>
      <c r="Q12">
        <v>0</v>
      </c>
      <c r="R12">
        <v>48.401000000000003</v>
      </c>
      <c r="S12">
        <v>51.2</v>
      </c>
      <c r="T12">
        <v>19</v>
      </c>
    </row>
    <row r="13" spans="1:21" x14ac:dyDescent="0.3">
      <c r="A13" t="s">
        <v>459</v>
      </c>
      <c r="B13">
        <v>232.36799999999999</v>
      </c>
      <c r="C13">
        <v>100</v>
      </c>
      <c r="D13">
        <v>11.622</v>
      </c>
      <c r="E13">
        <v>0.38700000000000001</v>
      </c>
      <c r="F13">
        <v>79.334000000000003</v>
      </c>
      <c r="G13">
        <v>6.33</v>
      </c>
      <c r="H13">
        <v>104.20699999999999</v>
      </c>
      <c r="I13">
        <v>37.993000000000002</v>
      </c>
      <c r="J13">
        <v>5.8959999999999999</v>
      </c>
      <c r="K13">
        <v>230.17400000000001</v>
      </c>
      <c r="L13">
        <v>8.5399999999999991</v>
      </c>
      <c r="M13">
        <v>52.787999999999997</v>
      </c>
      <c r="N13">
        <v>8.4879999999999995</v>
      </c>
      <c r="O13">
        <v>0.95299999999999996</v>
      </c>
      <c r="P13">
        <v>2.8220000000000001</v>
      </c>
      <c r="Q13">
        <v>0</v>
      </c>
      <c r="R13">
        <v>48.289000000000001</v>
      </c>
      <c r="S13">
        <v>51.2</v>
      </c>
      <c r="T13">
        <v>19</v>
      </c>
    </row>
    <row r="14" spans="1:21" x14ac:dyDescent="0.3">
      <c r="A14" t="s">
        <v>460</v>
      </c>
      <c r="B14">
        <v>232.756</v>
      </c>
      <c r="C14">
        <v>100</v>
      </c>
      <c r="D14">
        <v>11.737</v>
      </c>
      <c r="E14">
        <v>0.48</v>
      </c>
      <c r="F14">
        <v>79.055000000000007</v>
      </c>
      <c r="G14">
        <v>6.5780000000000003</v>
      </c>
      <c r="H14">
        <v>104.145</v>
      </c>
      <c r="I14">
        <v>38.1</v>
      </c>
      <c r="J14">
        <v>5.9029999999999996</v>
      </c>
      <c r="K14">
        <v>230.38800000000001</v>
      </c>
      <c r="L14">
        <v>8.5419999999999998</v>
      </c>
      <c r="M14">
        <v>52.665999999999997</v>
      </c>
      <c r="N14">
        <v>8.4960000000000004</v>
      </c>
      <c r="O14">
        <v>0.95399999999999996</v>
      </c>
      <c r="P14">
        <v>2.8290000000000002</v>
      </c>
      <c r="Q14">
        <v>0</v>
      </c>
      <c r="R14">
        <v>48.154000000000003</v>
      </c>
      <c r="S14">
        <v>51.2</v>
      </c>
      <c r="T14">
        <v>19</v>
      </c>
    </row>
    <row r="15" spans="1:21" x14ac:dyDescent="0.3">
      <c r="A15" t="s">
        <v>461</v>
      </c>
      <c r="B15">
        <v>232.27500000000001</v>
      </c>
      <c r="C15">
        <v>100</v>
      </c>
      <c r="D15">
        <v>11.842000000000001</v>
      </c>
      <c r="E15">
        <v>0.498</v>
      </c>
      <c r="F15">
        <v>78.930000000000007</v>
      </c>
      <c r="G15">
        <v>6.6289999999999996</v>
      </c>
      <c r="H15">
        <v>104.15</v>
      </c>
      <c r="I15">
        <v>37.993000000000002</v>
      </c>
      <c r="J15">
        <v>5.9020000000000001</v>
      </c>
      <c r="K15">
        <v>230.43700000000001</v>
      </c>
      <c r="L15">
        <v>8.5500000000000007</v>
      </c>
      <c r="M15">
        <v>52.719000000000001</v>
      </c>
      <c r="N15">
        <v>8.4890000000000008</v>
      </c>
      <c r="O15">
        <v>0.94799999999999995</v>
      </c>
      <c r="P15">
        <v>2.8170000000000002</v>
      </c>
      <c r="Q15">
        <v>0</v>
      </c>
      <c r="R15">
        <v>48.107999999999997</v>
      </c>
      <c r="S15">
        <v>51.2</v>
      </c>
      <c r="T15">
        <v>19</v>
      </c>
    </row>
    <row r="16" spans="1:21" x14ac:dyDescent="0.3">
      <c r="A16" t="s">
        <v>462</v>
      </c>
      <c r="B16">
        <v>233.25399999999999</v>
      </c>
      <c r="C16">
        <v>100</v>
      </c>
      <c r="D16">
        <v>12.058999999999999</v>
      </c>
      <c r="E16">
        <v>0.40899999999999997</v>
      </c>
      <c r="F16">
        <v>79.38</v>
      </c>
      <c r="G16">
        <v>6.4930000000000003</v>
      </c>
      <c r="H16">
        <v>104.148</v>
      </c>
      <c r="I16">
        <v>37.927</v>
      </c>
      <c r="J16">
        <v>5.9029999999999996</v>
      </c>
      <c r="K16">
        <v>230.50299999999999</v>
      </c>
      <c r="L16">
        <v>8.5489999999999995</v>
      </c>
      <c r="M16">
        <v>52.548000000000002</v>
      </c>
      <c r="N16">
        <v>8.49</v>
      </c>
      <c r="O16">
        <v>0.94899999999999995</v>
      </c>
      <c r="P16">
        <v>2.8149999999999999</v>
      </c>
      <c r="Q16">
        <v>0</v>
      </c>
      <c r="R16">
        <v>48.104999999999997</v>
      </c>
      <c r="S16">
        <v>51.3</v>
      </c>
      <c r="T16">
        <v>19</v>
      </c>
    </row>
    <row r="17" spans="1:20" x14ac:dyDescent="0.3">
      <c r="A17" t="s">
        <v>463</v>
      </c>
      <c r="B17">
        <v>233.709</v>
      </c>
      <c r="C17">
        <v>100</v>
      </c>
      <c r="D17">
        <v>12.102</v>
      </c>
      <c r="E17">
        <v>0.498</v>
      </c>
      <c r="F17">
        <v>79.070999999999998</v>
      </c>
      <c r="G17">
        <v>6.1970000000000001</v>
      </c>
      <c r="H17">
        <v>103.907</v>
      </c>
      <c r="I17">
        <v>38.119999999999997</v>
      </c>
      <c r="J17">
        <v>5.9029999999999996</v>
      </c>
      <c r="K17">
        <v>230.28899999999999</v>
      </c>
      <c r="L17">
        <v>8.5470000000000006</v>
      </c>
      <c r="M17">
        <v>52.661999999999999</v>
      </c>
      <c r="N17">
        <v>8.49</v>
      </c>
      <c r="O17">
        <v>0.94399999999999995</v>
      </c>
      <c r="P17">
        <v>2.8079999999999998</v>
      </c>
      <c r="Q17">
        <v>0</v>
      </c>
      <c r="R17">
        <v>48.161999999999999</v>
      </c>
      <c r="S17">
        <v>51.3</v>
      </c>
      <c r="T17">
        <v>19</v>
      </c>
    </row>
    <row r="18" spans="1:20" x14ac:dyDescent="0.3">
      <c r="A18" t="s">
        <v>464</v>
      </c>
      <c r="B18">
        <v>233.149</v>
      </c>
      <c r="C18">
        <v>100</v>
      </c>
      <c r="D18">
        <v>12.24</v>
      </c>
      <c r="E18">
        <v>0.433</v>
      </c>
      <c r="F18">
        <v>79.983999999999995</v>
      </c>
      <c r="G18">
        <v>6.6980000000000004</v>
      </c>
      <c r="H18">
        <v>104.39400000000001</v>
      </c>
      <c r="I18">
        <v>38.210999999999999</v>
      </c>
      <c r="J18">
        <v>5.8959999999999999</v>
      </c>
      <c r="K18">
        <v>230.339</v>
      </c>
      <c r="L18">
        <v>8.5340000000000007</v>
      </c>
      <c r="M18">
        <v>52.682000000000002</v>
      </c>
      <c r="N18">
        <v>8.49</v>
      </c>
      <c r="O18">
        <v>0.95699999999999996</v>
      </c>
      <c r="P18">
        <v>2.823</v>
      </c>
      <c r="Q18">
        <v>0</v>
      </c>
      <c r="R18">
        <v>48.238999999999997</v>
      </c>
      <c r="S18">
        <v>51.1</v>
      </c>
      <c r="T18">
        <v>19</v>
      </c>
    </row>
    <row r="19" spans="1:20" x14ac:dyDescent="0.3">
      <c r="A19" t="s">
        <v>465</v>
      </c>
      <c r="B19">
        <v>233.93600000000001</v>
      </c>
      <c r="C19">
        <v>100</v>
      </c>
      <c r="D19">
        <v>12.371</v>
      </c>
      <c r="E19">
        <v>0.495</v>
      </c>
      <c r="F19">
        <v>80.177999999999997</v>
      </c>
      <c r="G19">
        <v>6.93</v>
      </c>
      <c r="H19">
        <v>104.41500000000001</v>
      </c>
      <c r="I19">
        <v>38.082999999999998</v>
      </c>
      <c r="J19">
        <v>5.9029999999999996</v>
      </c>
      <c r="K19">
        <v>230.50299999999999</v>
      </c>
      <c r="L19">
        <v>8.5459999999999994</v>
      </c>
      <c r="M19">
        <v>52.710999999999999</v>
      </c>
      <c r="N19">
        <v>8.484</v>
      </c>
      <c r="O19">
        <v>0.94199999999999995</v>
      </c>
      <c r="P19">
        <v>2.8159999999999998</v>
      </c>
      <c r="Q19">
        <v>0</v>
      </c>
      <c r="R19">
        <v>48.387999999999998</v>
      </c>
      <c r="S19">
        <v>51.3</v>
      </c>
      <c r="T19">
        <v>19</v>
      </c>
    </row>
    <row r="20" spans="1:20" x14ac:dyDescent="0.3">
      <c r="A20" t="s">
        <v>466</v>
      </c>
      <c r="B20">
        <v>232.584</v>
      </c>
      <c r="C20">
        <v>100</v>
      </c>
      <c r="D20">
        <v>12.398</v>
      </c>
      <c r="E20">
        <v>0.46100000000000002</v>
      </c>
      <c r="F20">
        <v>80.177999999999997</v>
      </c>
      <c r="G20">
        <v>6.798</v>
      </c>
      <c r="H20">
        <v>104.13500000000001</v>
      </c>
      <c r="I20">
        <v>38.049999999999997</v>
      </c>
      <c r="J20">
        <v>5.8949999999999996</v>
      </c>
      <c r="K20">
        <v>230.25700000000001</v>
      </c>
      <c r="L20">
        <v>8.5329999999999995</v>
      </c>
      <c r="M20">
        <v>52.777999999999999</v>
      </c>
      <c r="N20">
        <v>8.4930000000000003</v>
      </c>
      <c r="O20">
        <v>0.97399999999999998</v>
      </c>
      <c r="P20">
        <v>2.819</v>
      </c>
      <c r="Q20">
        <v>0</v>
      </c>
      <c r="R20">
        <v>48.454000000000001</v>
      </c>
      <c r="S20">
        <v>51.2</v>
      </c>
      <c r="T20">
        <v>19</v>
      </c>
    </row>
    <row r="21" spans="1:20" x14ac:dyDescent="0.3">
      <c r="A21" t="s">
        <v>467</v>
      </c>
      <c r="B21">
        <v>232.82400000000001</v>
      </c>
      <c r="C21">
        <v>100</v>
      </c>
      <c r="D21">
        <v>12.355</v>
      </c>
      <c r="E21">
        <v>0.38</v>
      </c>
      <c r="F21">
        <v>79.534000000000006</v>
      </c>
      <c r="G21">
        <v>6.476</v>
      </c>
      <c r="H21">
        <v>104.172</v>
      </c>
      <c r="I21">
        <v>37.89</v>
      </c>
      <c r="J21">
        <v>5.899</v>
      </c>
      <c r="K21">
        <v>230.37200000000001</v>
      </c>
      <c r="L21">
        <v>8.66</v>
      </c>
      <c r="M21">
        <v>52.664000000000001</v>
      </c>
      <c r="N21">
        <v>8.4930000000000003</v>
      </c>
      <c r="O21">
        <v>0.95099999999999996</v>
      </c>
      <c r="P21">
        <v>2.8149999999999999</v>
      </c>
      <c r="Q21">
        <v>0</v>
      </c>
      <c r="R21">
        <v>48.341000000000001</v>
      </c>
      <c r="S21">
        <v>51.2</v>
      </c>
      <c r="T21">
        <v>19</v>
      </c>
    </row>
    <row r="22" spans="1:20" x14ac:dyDescent="0.3">
      <c r="A22" t="s">
        <v>468</v>
      </c>
      <c r="B22">
        <v>232.93100000000001</v>
      </c>
      <c r="C22">
        <v>100</v>
      </c>
      <c r="D22">
        <v>12.457000000000001</v>
      </c>
      <c r="E22">
        <v>0.48499999999999999</v>
      </c>
      <c r="F22">
        <v>79.944999999999993</v>
      </c>
      <c r="G22">
        <v>7.0960000000000001</v>
      </c>
      <c r="H22">
        <v>104.255</v>
      </c>
      <c r="I22">
        <v>37.918999999999997</v>
      </c>
      <c r="J22">
        <v>5.8979999999999997</v>
      </c>
      <c r="K22">
        <v>230.43700000000001</v>
      </c>
      <c r="L22">
        <v>8.6829999999999998</v>
      </c>
      <c r="M22">
        <v>52.579000000000001</v>
      </c>
      <c r="N22">
        <v>8.4930000000000003</v>
      </c>
      <c r="O22">
        <v>0.92500000000000004</v>
      </c>
      <c r="P22">
        <v>2.8319999999999999</v>
      </c>
      <c r="Q22">
        <v>0</v>
      </c>
      <c r="R22">
        <v>48.204000000000001</v>
      </c>
      <c r="S22">
        <v>51.3</v>
      </c>
      <c r="T22">
        <v>19</v>
      </c>
    </row>
    <row r="23" spans="1:20" x14ac:dyDescent="0.3">
      <c r="A23" t="s">
        <v>469</v>
      </c>
      <c r="B23">
        <v>233.76599999999999</v>
      </c>
      <c r="C23">
        <v>100</v>
      </c>
      <c r="D23">
        <v>12.590999999999999</v>
      </c>
      <c r="E23">
        <v>0.40899999999999997</v>
      </c>
      <c r="F23">
        <v>80.555999999999997</v>
      </c>
      <c r="G23">
        <v>6.6619999999999999</v>
      </c>
      <c r="H23">
        <v>104.188</v>
      </c>
      <c r="I23">
        <v>37.893999999999998</v>
      </c>
      <c r="J23">
        <v>5.8970000000000002</v>
      </c>
      <c r="K23">
        <v>230.43700000000001</v>
      </c>
      <c r="L23">
        <v>8.6609999999999996</v>
      </c>
      <c r="M23">
        <v>52.554000000000002</v>
      </c>
      <c r="N23">
        <v>8.484</v>
      </c>
      <c r="O23">
        <v>0.92400000000000004</v>
      </c>
      <c r="P23">
        <v>2.8050000000000002</v>
      </c>
      <c r="Q23">
        <v>0</v>
      </c>
      <c r="R23">
        <v>48.167999999999999</v>
      </c>
      <c r="S23">
        <v>51.1</v>
      </c>
      <c r="T23">
        <v>19</v>
      </c>
    </row>
    <row r="24" spans="1:20" x14ac:dyDescent="0.3">
      <c r="A24" t="s">
        <v>470</v>
      </c>
      <c r="B24">
        <v>233.226</v>
      </c>
      <c r="C24">
        <v>100</v>
      </c>
      <c r="D24">
        <v>12.798</v>
      </c>
      <c r="E24">
        <v>0.42499999999999999</v>
      </c>
      <c r="F24">
        <v>79.638999999999996</v>
      </c>
      <c r="G24">
        <v>6.851</v>
      </c>
      <c r="H24">
        <v>104.21599999999999</v>
      </c>
      <c r="I24">
        <v>38.005000000000003</v>
      </c>
      <c r="J24">
        <v>5.6239999999999997</v>
      </c>
      <c r="K24">
        <v>231.833</v>
      </c>
      <c r="L24">
        <v>8.26</v>
      </c>
      <c r="M24">
        <v>52.609000000000002</v>
      </c>
      <c r="N24">
        <v>8.327</v>
      </c>
      <c r="O24">
        <v>0.94</v>
      </c>
      <c r="P24">
        <v>2.8</v>
      </c>
      <c r="Q24">
        <v>0</v>
      </c>
      <c r="R24">
        <v>48.158000000000001</v>
      </c>
      <c r="S24">
        <v>51.3</v>
      </c>
      <c r="T24">
        <v>19</v>
      </c>
    </row>
    <row r="25" spans="1:20" ht="15" thickBot="1" x14ac:dyDescent="0.35">
      <c r="A25" t="s">
        <v>471</v>
      </c>
      <c r="B25">
        <v>233.53100000000001</v>
      </c>
      <c r="C25">
        <v>100</v>
      </c>
      <c r="D25">
        <v>12.802</v>
      </c>
      <c r="E25">
        <v>0.502</v>
      </c>
      <c r="F25">
        <v>79.051000000000002</v>
      </c>
      <c r="G25">
        <v>6.4269999999999996</v>
      </c>
      <c r="H25">
        <v>104.32899999999999</v>
      </c>
      <c r="I25">
        <v>37.948</v>
      </c>
      <c r="J25">
        <v>5.9050000000000002</v>
      </c>
      <c r="K25">
        <v>230.51900000000001</v>
      </c>
      <c r="L25">
        <v>8.4640000000000004</v>
      </c>
      <c r="M25">
        <v>52.64</v>
      </c>
      <c r="N25">
        <v>8.4890000000000008</v>
      </c>
      <c r="O25">
        <v>0.94699999999999995</v>
      </c>
      <c r="P25">
        <v>2.8</v>
      </c>
      <c r="Q25">
        <v>0</v>
      </c>
      <c r="R25">
        <v>48.183999999999997</v>
      </c>
      <c r="S25">
        <v>51.3</v>
      </c>
      <c r="T25">
        <v>19</v>
      </c>
    </row>
    <row r="26" spans="1:20" ht="15" thickBot="1" x14ac:dyDescent="0.35">
      <c r="A26" t="s">
        <v>0</v>
      </c>
      <c r="B26" s="1">
        <f t="shared" ref="B26:S26" si="0">AVERAGE(B6:B25)</f>
        <v>232.85374999999993</v>
      </c>
      <c r="C26" s="1">
        <f t="shared" si="0"/>
        <v>100</v>
      </c>
      <c r="D26" s="1">
        <f t="shared" si="0"/>
        <v>12.012650000000001</v>
      </c>
      <c r="E26" s="10">
        <f t="shared" si="0"/>
        <v>0.45225000000000015</v>
      </c>
      <c r="F26" s="1">
        <f t="shared" si="0"/>
        <v>79.584649999999982</v>
      </c>
      <c r="G26" s="1">
        <f t="shared" si="0"/>
        <v>6.6395000000000008</v>
      </c>
      <c r="H26" s="10">
        <f t="shared" si="0"/>
        <v>104.07055</v>
      </c>
      <c r="I26" s="1">
        <f t="shared" si="0"/>
        <v>38.049300000000002</v>
      </c>
      <c r="J26" s="8">
        <f t="shared" si="0"/>
        <v>5.88645</v>
      </c>
      <c r="K26" s="1">
        <f t="shared" si="0"/>
        <v>230.48319999999998</v>
      </c>
      <c r="L26" s="1">
        <f t="shared" si="0"/>
        <v>8.5444499999999994</v>
      </c>
      <c r="M26" s="1">
        <f t="shared" si="0"/>
        <v>52.667950000000005</v>
      </c>
      <c r="N26" s="1">
        <f t="shared" si="0"/>
        <v>8.4805499999999991</v>
      </c>
      <c r="O26" s="1">
        <f t="shared" si="0"/>
        <v>0.94195000000000007</v>
      </c>
      <c r="P26" s="1">
        <f t="shared" si="0"/>
        <v>2.8165499999999999</v>
      </c>
      <c r="Q26" s="1">
        <f t="shared" si="0"/>
        <v>0</v>
      </c>
      <c r="R26" s="1">
        <f t="shared" si="0"/>
        <v>48.212400000000002</v>
      </c>
      <c r="S26" s="1">
        <f t="shared" si="0"/>
        <v>51.225000000000001</v>
      </c>
      <c r="T26" s="8">
        <f>AVERAGE(T6:T25)</f>
        <v>19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1.8745999999999998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22DB-EBFE-4B2B-AA24-D27BD243F5BC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7" sqref="M37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0.45809027777777778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50.030009264996387</v>
      </c>
      <c r="M2" s="8">
        <f>(H26*0.001*60)*(K2/100)*(G2/I2)</f>
        <v>2.2801387563275441</v>
      </c>
      <c r="O2" s="9">
        <f>100*((E26*C2)/((E26*C2)+(M2*E2)))</f>
        <v>14.089766923317706</v>
      </c>
      <c r="Q2" s="10">
        <f>100*J26*(1/(((C2/3.6)*E26)+((E2/3.6)*M2)))</f>
        <v>16.077196210006168</v>
      </c>
      <c r="S2" s="6">
        <v>3.54</v>
      </c>
      <c r="U2" s="10">
        <f>100*((((G26*0.001*60)*(C26-D26)*(S2/3.6)))/(((C2/3.6)*E26)+((E2/3.6)*M2)))</f>
        <v>103.12455790312167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472</v>
      </c>
      <c r="B6">
        <v>239.971</v>
      </c>
      <c r="C6">
        <v>100</v>
      </c>
      <c r="D6">
        <v>18.538</v>
      </c>
      <c r="E6">
        <v>0.39200000000000002</v>
      </c>
      <c r="F6">
        <v>79.076999999999998</v>
      </c>
      <c r="G6">
        <v>8.0109999999999992</v>
      </c>
      <c r="H6">
        <v>106.422</v>
      </c>
      <c r="I6">
        <v>36.777000000000001</v>
      </c>
      <c r="J6">
        <v>6.5229999999999997</v>
      </c>
      <c r="K6">
        <v>229.53399999999999</v>
      </c>
      <c r="L6">
        <v>10.768000000000001</v>
      </c>
      <c r="M6">
        <v>52.704999999999998</v>
      </c>
      <c r="N6">
        <v>11.148</v>
      </c>
      <c r="O6">
        <v>0.93500000000000005</v>
      </c>
      <c r="P6">
        <v>3.2250000000000001</v>
      </c>
      <c r="Q6">
        <v>0</v>
      </c>
      <c r="R6">
        <v>51.55</v>
      </c>
      <c r="S6">
        <v>51.4</v>
      </c>
      <c r="T6">
        <v>11</v>
      </c>
    </row>
    <row r="7" spans="1:21" x14ac:dyDescent="0.3">
      <c r="A7" t="s">
        <v>473</v>
      </c>
      <c r="B7">
        <v>239.392</v>
      </c>
      <c r="C7">
        <v>100</v>
      </c>
      <c r="D7">
        <v>18.587</v>
      </c>
      <c r="E7">
        <v>0.38600000000000001</v>
      </c>
      <c r="F7">
        <v>79.921999999999997</v>
      </c>
      <c r="G7">
        <v>7.8410000000000002</v>
      </c>
      <c r="H7">
        <v>106.063</v>
      </c>
      <c r="I7">
        <v>36.854999999999997</v>
      </c>
      <c r="J7">
        <v>5.9</v>
      </c>
      <c r="K7">
        <v>230.45400000000001</v>
      </c>
      <c r="L7">
        <v>8.5440000000000005</v>
      </c>
      <c r="M7">
        <v>52.621000000000002</v>
      </c>
      <c r="N7">
        <v>8.4870000000000001</v>
      </c>
      <c r="O7">
        <v>0.94399999999999995</v>
      </c>
      <c r="P7">
        <v>3.2250000000000001</v>
      </c>
      <c r="Q7">
        <v>0</v>
      </c>
      <c r="R7">
        <v>51.517000000000003</v>
      </c>
      <c r="S7">
        <v>51.4</v>
      </c>
      <c r="T7">
        <v>11</v>
      </c>
    </row>
    <row r="8" spans="1:21" x14ac:dyDescent="0.3">
      <c r="A8" t="s">
        <v>474</v>
      </c>
      <c r="B8">
        <v>240.351</v>
      </c>
      <c r="C8">
        <v>100</v>
      </c>
      <c r="D8">
        <v>18.564</v>
      </c>
      <c r="E8">
        <v>0.44700000000000001</v>
      </c>
      <c r="F8">
        <v>79.855999999999995</v>
      </c>
      <c r="G8">
        <v>8.0519999999999996</v>
      </c>
      <c r="H8">
        <v>105.96</v>
      </c>
      <c r="I8">
        <v>36.698999999999998</v>
      </c>
      <c r="J8">
        <v>5.9</v>
      </c>
      <c r="K8">
        <v>230.25700000000001</v>
      </c>
      <c r="L8">
        <v>8.5459999999999994</v>
      </c>
      <c r="M8">
        <v>52.734999999999999</v>
      </c>
      <c r="N8">
        <v>8.4879999999999995</v>
      </c>
      <c r="O8">
        <v>0.92700000000000005</v>
      </c>
      <c r="P8">
        <v>3.2240000000000002</v>
      </c>
      <c r="Q8">
        <v>0</v>
      </c>
      <c r="R8">
        <v>51.351999999999997</v>
      </c>
      <c r="S8">
        <v>51.4</v>
      </c>
      <c r="T8">
        <v>11</v>
      </c>
    </row>
    <row r="9" spans="1:21" x14ac:dyDescent="0.3">
      <c r="A9" t="s">
        <v>475</v>
      </c>
      <c r="B9">
        <v>239.946</v>
      </c>
      <c r="C9">
        <v>100</v>
      </c>
      <c r="D9">
        <v>18.544</v>
      </c>
      <c r="E9">
        <v>0.53100000000000003</v>
      </c>
      <c r="F9">
        <v>79.62</v>
      </c>
      <c r="G9">
        <v>7.9139999999999997</v>
      </c>
      <c r="H9">
        <v>106.048</v>
      </c>
      <c r="I9">
        <v>36.625</v>
      </c>
      <c r="J9">
        <v>5.9</v>
      </c>
      <c r="K9">
        <v>230.404</v>
      </c>
      <c r="L9">
        <v>8.6219999999999999</v>
      </c>
      <c r="M9">
        <v>52.53</v>
      </c>
      <c r="N9">
        <v>8.4890000000000008</v>
      </c>
      <c r="O9">
        <v>0.94199999999999995</v>
      </c>
      <c r="P9">
        <v>3.2469999999999999</v>
      </c>
      <c r="Q9">
        <v>0</v>
      </c>
      <c r="R9">
        <v>51.231000000000002</v>
      </c>
      <c r="S9">
        <v>51.6</v>
      </c>
      <c r="T9">
        <v>11</v>
      </c>
    </row>
    <row r="10" spans="1:21" x14ac:dyDescent="0.3">
      <c r="A10" t="s">
        <v>476</v>
      </c>
      <c r="B10">
        <v>239.44399999999999</v>
      </c>
      <c r="C10">
        <v>100</v>
      </c>
      <c r="D10">
        <v>18.587</v>
      </c>
      <c r="E10">
        <v>0.53300000000000003</v>
      </c>
      <c r="F10">
        <v>80.266999999999996</v>
      </c>
      <c r="G10">
        <v>7.9349999999999996</v>
      </c>
      <c r="H10">
        <v>106.288</v>
      </c>
      <c r="I10">
        <v>36.991</v>
      </c>
      <c r="J10">
        <v>5.9020000000000001</v>
      </c>
      <c r="K10">
        <v>230.28899999999999</v>
      </c>
      <c r="L10">
        <v>8.6579999999999995</v>
      </c>
      <c r="M10">
        <v>52.732999999999997</v>
      </c>
      <c r="N10">
        <v>8.4920000000000009</v>
      </c>
      <c r="O10">
        <v>0.97099999999999997</v>
      </c>
      <c r="P10">
        <v>3.2759999999999998</v>
      </c>
      <c r="Q10">
        <v>0</v>
      </c>
      <c r="R10">
        <v>51.302999999999997</v>
      </c>
      <c r="S10">
        <v>51.5</v>
      </c>
      <c r="T10">
        <v>11</v>
      </c>
    </row>
    <row r="11" spans="1:21" x14ac:dyDescent="0.3">
      <c r="A11" t="s">
        <v>477</v>
      </c>
      <c r="B11">
        <v>239.85499999999999</v>
      </c>
      <c r="C11">
        <v>100</v>
      </c>
      <c r="D11">
        <v>18.571000000000002</v>
      </c>
      <c r="E11">
        <v>0.45400000000000001</v>
      </c>
      <c r="F11">
        <v>80.418000000000006</v>
      </c>
      <c r="G11">
        <v>7.8739999999999997</v>
      </c>
      <c r="H11">
        <v>106.408</v>
      </c>
      <c r="I11">
        <v>36.58</v>
      </c>
      <c r="J11">
        <v>5.9020000000000001</v>
      </c>
      <c r="K11">
        <v>230.45400000000001</v>
      </c>
      <c r="L11">
        <v>8.6280000000000001</v>
      </c>
      <c r="M11">
        <v>52.570999999999998</v>
      </c>
      <c r="N11">
        <v>8.4920000000000009</v>
      </c>
      <c r="O11">
        <v>0.94599999999999995</v>
      </c>
      <c r="P11">
        <v>3.2370000000000001</v>
      </c>
      <c r="Q11">
        <v>0</v>
      </c>
      <c r="R11">
        <v>51.423999999999999</v>
      </c>
      <c r="S11">
        <v>51.5</v>
      </c>
      <c r="T11">
        <v>11</v>
      </c>
    </row>
    <row r="12" spans="1:21" x14ac:dyDescent="0.3">
      <c r="A12" t="s">
        <v>478</v>
      </c>
      <c r="B12">
        <v>239.08199999999999</v>
      </c>
      <c r="C12">
        <v>100</v>
      </c>
      <c r="D12">
        <v>18.538</v>
      </c>
      <c r="E12">
        <v>0.44500000000000001</v>
      </c>
      <c r="F12">
        <v>80.328999999999994</v>
      </c>
      <c r="G12">
        <v>7.82</v>
      </c>
      <c r="H12">
        <v>106.191</v>
      </c>
      <c r="I12">
        <v>36.749000000000002</v>
      </c>
      <c r="J12">
        <v>5.9009999999999998</v>
      </c>
      <c r="K12">
        <v>230.35499999999999</v>
      </c>
      <c r="L12">
        <v>8.6679999999999993</v>
      </c>
      <c r="M12">
        <v>52.637999999999998</v>
      </c>
      <c r="N12">
        <v>8.49</v>
      </c>
      <c r="O12">
        <v>0.95399999999999996</v>
      </c>
      <c r="P12">
        <v>3.2370000000000001</v>
      </c>
      <c r="Q12">
        <v>0</v>
      </c>
      <c r="R12">
        <v>51.531999999999996</v>
      </c>
      <c r="S12">
        <v>51.5</v>
      </c>
      <c r="T12">
        <v>11</v>
      </c>
    </row>
    <row r="13" spans="1:21" x14ac:dyDescent="0.3">
      <c r="A13" t="s">
        <v>479</v>
      </c>
      <c r="B13">
        <v>239.44200000000001</v>
      </c>
      <c r="C13">
        <v>100</v>
      </c>
      <c r="D13">
        <v>18.527999999999999</v>
      </c>
      <c r="E13">
        <v>0.38800000000000001</v>
      </c>
      <c r="F13">
        <v>79.822999999999993</v>
      </c>
      <c r="G13">
        <v>7.9169999999999998</v>
      </c>
      <c r="H13">
        <v>106.134</v>
      </c>
      <c r="I13">
        <v>36.768999999999998</v>
      </c>
      <c r="J13">
        <v>5.8970000000000002</v>
      </c>
      <c r="K13">
        <v>230.25700000000001</v>
      </c>
      <c r="L13">
        <v>8.5410000000000004</v>
      </c>
      <c r="M13">
        <v>52.552</v>
      </c>
      <c r="N13">
        <v>8.4909999999999997</v>
      </c>
      <c r="O13">
        <v>0.95699999999999996</v>
      </c>
      <c r="P13">
        <v>3.2160000000000002</v>
      </c>
      <c r="Q13">
        <v>0</v>
      </c>
      <c r="R13">
        <v>51.447000000000003</v>
      </c>
      <c r="S13">
        <v>51.5</v>
      </c>
      <c r="T13">
        <v>11</v>
      </c>
    </row>
    <row r="14" spans="1:21" x14ac:dyDescent="0.3">
      <c r="A14" t="s">
        <v>480</v>
      </c>
      <c r="B14">
        <v>239.86799999999999</v>
      </c>
      <c r="C14">
        <v>100</v>
      </c>
      <c r="D14">
        <v>18.544</v>
      </c>
      <c r="E14">
        <v>0.35099999999999998</v>
      </c>
      <c r="F14">
        <v>79.498000000000005</v>
      </c>
      <c r="G14">
        <v>7.8410000000000002</v>
      </c>
      <c r="H14">
        <v>106.20099999999999</v>
      </c>
      <c r="I14">
        <v>36.523000000000003</v>
      </c>
      <c r="J14">
        <v>5.9020000000000001</v>
      </c>
      <c r="K14">
        <v>230.404</v>
      </c>
      <c r="L14">
        <v>8.5470000000000006</v>
      </c>
      <c r="M14">
        <v>52.686</v>
      </c>
      <c r="N14">
        <v>8.4870000000000001</v>
      </c>
      <c r="O14">
        <v>0.93899999999999995</v>
      </c>
      <c r="P14">
        <v>3.2109999999999999</v>
      </c>
      <c r="Q14">
        <v>0</v>
      </c>
      <c r="R14">
        <v>51.27</v>
      </c>
      <c r="S14">
        <v>51.5</v>
      </c>
      <c r="T14">
        <v>11</v>
      </c>
    </row>
    <row r="15" spans="1:21" x14ac:dyDescent="0.3">
      <c r="A15" t="s">
        <v>481</v>
      </c>
      <c r="B15">
        <v>239.822</v>
      </c>
      <c r="C15">
        <v>100</v>
      </c>
      <c r="D15">
        <v>18.538</v>
      </c>
      <c r="E15">
        <v>0.40300000000000002</v>
      </c>
      <c r="F15">
        <v>79.61</v>
      </c>
      <c r="G15">
        <v>8.0069999999999997</v>
      </c>
      <c r="H15">
        <v>106.35899999999999</v>
      </c>
      <c r="I15">
        <v>36.887999999999998</v>
      </c>
      <c r="J15">
        <v>5.8959999999999999</v>
      </c>
      <c r="K15">
        <v>230.25700000000001</v>
      </c>
      <c r="L15">
        <v>8.5350000000000001</v>
      </c>
      <c r="M15">
        <v>52.642000000000003</v>
      </c>
      <c r="N15">
        <v>8.4879999999999995</v>
      </c>
      <c r="O15">
        <v>0.94699999999999995</v>
      </c>
      <c r="P15">
        <v>3.2269999999999999</v>
      </c>
      <c r="Q15">
        <v>0</v>
      </c>
      <c r="R15">
        <v>51.274000000000001</v>
      </c>
      <c r="S15">
        <v>51.6</v>
      </c>
      <c r="T15">
        <v>11</v>
      </c>
    </row>
    <row r="16" spans="1:21" x14ac:dyDescent="0.3">
      <c r="A16" t="s">
        <v>482</v>
      </c>
      <c r="B16">
        <v>239.678</v>
      </c>
      <c r="C16">
        <v>100</v>
      </c>
      <c r="D16">
        <v>18.553999999999998</v>
      </c>
      <c r="E16">
        <v>0.49299999999999999</v>
      </c>
      <c r="F16">
        <v>79.399000000000001</v>
      </c>
      <c r="G16">
        <v>8.0299999999999994</v>
      </c>
      <c r="H16">
        <v>106.486</v>
      </c>
      <c r="I16">
        <v>36.707999999999998</v>
      </c>
      <c r="J16">
        <v>5.9029999999999996</v>
      </c>
      <c r="K16">
        <v>230.50299999999999</v>
      </c>
      <c r="L16">
        <v>8.5510000000000002</v>
      </c>
      <c r="M16">
        <v>52.610999999999997</v>
      </c>
      <c r="N16">
        <v>8.4890000000000008</v>
      </c>
      <c r="O16">
        <v>0.92400000000000004</v>
      </c>
      <c r="P16">
        <v>3.2440000000000002</v>
      </c>
      <c r="Q16">
        <v>0</v>
      </c>
      <c r="R16">
        <v>51.371000000000002</v>
      </c>
      <c r="S16">
        <v>51.5</v>
      </c>
      <c r="T16">
        <v>11</v>
      </c>
    </row>
    <row r="17" spans="1:20" x14ac:dyDescent="0.3">
      <c r="A17" t="s">
        <v>483</v>
      </c>
      <c r="B17">
        <v>239.602</v>
      </c>
      <c r="C17">
        <v>100</v>
      </c>
      <c r="D17">
        <v>18.533999999999999</v>
      </c>
      <c r="E17">
        <v>0.501</v>
      </c>
      <c r="F17">
        <v>79.665999999999997</v>
      </c>
      <c r="G17">
        <v>7.7229999999999999</v>
      </c>
      <c r="H17">
        <v>106.30200000000001</v>
      </c>
      <c r="I17">
        <v>36.609000000000002</v>
      </c>
      <c r="J17">
        <v>5.8970000000000002</v>
      </c>
      <c r="K17">
        <v>230.30600000000001</v>
      </c>
      <c r="L17">
        <v>8.5380000000000003</v>
      </c>
      <c r="M17">
        <v>52.654000000000003</v>
      </c>
      <c r="N17">
        <v>8.4979999999999993</v>
      </c>
      <c r="O17">
        <v>0.93500000000000005</v>
      </c>
      <c r="P17">
        <v>3.266</v>
      </c>
      <c r="Q17">
        <v>0</v>
      </c>
      <c r="R17">
        <v>51.518999999999998</v>
      </c>
      <c r="S17">
        <v>51.5</v>
      </c>
      <c r="T17">
        <v>11</v>
      </c>
    </row>
    <row r="18" spans="1:20" x14ac:dyDescent="0.3">
      <c r="A18" t="s">
        <v>484</v>
      </c>
      <c r="B18">
        <v>239.726</v>
      </c>
      <c r="C18">
        <v>100</v>
      </c>
      <c r="D18">
        <v>18.501999999999999</v>
      </c>
      <c r="E18">
        <v>0.36499999999999999</v>
      </c>
      <c r="F18">
        <v>79.251999999999995</v>
      </c>
      <c r="G18">
        <v>7.9349999999999996</v>
      </c>
      <c r="H18">
        <v>106.52500000000001</v>
      </c>
      <c r="I18">
        <v>36.371000000000002</v>
      </c>
      <c r="J18">
        <v>5.9029999999999996</v>
      </c>
      <c r="K18">
        <v>230.50299999999999</v>
      </c>
      <c r="L18">
        <v>8.6240000000000006</v>
      </c>
      <c r="M18">
        <v>52.604999999999997</v>
      </c>
      <c r="N18">
        <v>8.4540000000000006</v>
      </c>
      <c r="O18">
        <v>0.94699999999999995</v>
      </c>
      <c r="P18">
        <v>3.2410000000000001</v>
      </c>
      <c r="Q18">
        <v>0</v>
      </c>
      <c r="R18">
        <v>51.622</v>
      </c>
      <c r="S18">
        <v>51.5</v>
      </c>
      <c r="T18">
        <v>11</v>
      </c>
    </row>
    <row r="19" spans="1:20" x14ac:dyDescent="0.3">
      <c r="A19" t="s">
        <v>485</v>
      </c>
      <c r="B19">
        <v>239.47399999999999</v>
      </c>
      <c r="C19">
        <v>100</v>
      </c>
      <c r="D19">
        <v>18.498000000000001</v>
      </c>
      <c r="E19">
        <v>0.34799999999999998</v>
      </c>
      <c r="F19">
        <v>80.786000000000001</v>
      </c>
      <c r="G19">
        <v>7.9989999999999997</v>
      </c>
      <c r="H19">
        <v>106.283</v>
      </c>
      <c r="I19">
        <v>36.502000000000002</v>
      </c>
      <c r="J19">
        <v>5.8920000000000003</v>
      </c>
      <c r="K19">
        <v>230.22399999999999</v>
      </c>
      <c r="L19">
        <v>8.5340000000000007</v>
      </c>
      <c r="M19">
        <v>52.761000000000003</v>
      </c>
      <c r="N19">
        <v>8.4860000000000007</v>
      </c>
      <c r="O19">
        <v>0.94</v>
      </c>
      <c r="P19">
        <v>3.24</v>
      </c>
      <c r="Q19">
        <v>0</v>
      </c>
      <c r="R19">
        <v>51.542999999999999</v>
      </c>
      <c r="S19">
        <v>51.5</v>
      </c>
      <c r="T19">
        <v>11</v>
      </c>
    </row>
    <row r="20" spans="1:20" x14ac:dyDescent="0.3">
      <c r="A20" t="s">
        <v>486</v>
      </c>
      <c r="B20">
        <v>239.267</v>
      </c>
      <c r="C20">
        <v>100</v>
      </c>
      <c r="D20">
        <v>18.413</v>
      </c>
      <c r="E20">
        <v>0.501</v>
      </c>
      <c r="F20">
        <v>80.200999999999993</v>
      </c>
      <c r="G20">
        <v>8.1649999999999991</v>
      </c>
      <c r="H20">
        <v>106.369</v>
      </c>
      <c r="I20">
        <v>36.938000000000002</v>
      </c>
      <c r="J20">
        <v>5.9</v>
      </c>
      <c r="K20">
        <v>230.50299999999999</v>
      </c>
      <c r="L20">
        <v>8.4559999999999995</v>
      </c>
      <c r="M20">
        <v>52.506</v>
      </c>
      <c r="N20">
        <v>8.4979999999999993</v>
      </c>
      <c r="O20">
        <v>0.93300000000000005</v>
      </c>
      <c r="P20">
        <v>3.2330000000000001</v>
      </c>
      <c r="Q20">
        <v>0</v>
      </c>
      <c r="R20">
        <v>51.347000000000001</v>
      </c>
      <c r="S20">
        <v>51.7</v>
      </c>
      <c r="T20">
        <v>11</v>
      </c>
    </row>
    <row r="21" spans="1:20" x14ac:dyDescent="0.3">
      <c r="A21" t="s">
        <v>487</v>
      </c>
      <c r="B21">
        <v>239.32499999999999</v>
      </c>
      <c r="C21">
        <v>100</v>
      </c>
      <c r="D21">
        <v>18.481999999999999</v>
      </c>
      <c r="E21">
        <v>0.53400000000000003</v>
      </c>
      <c r="F21">
        <v>79.757999999999996</v>
      </c>
      <c r="G21">
        <v>7.8760000000000003</v>
      </c>
      <c r="H21">
        <v>106.313</v>
      </c>
      <c r="I21">
        <v>36.698999999999998</v>
      </c>
      <c r="J21">
        <v>5.8940000000000001</v>
      </c>
      <c r="K21">
        <v>230.273</v>
      </c>
      <c r="L21">
        <v>8.6539999999999999</v>
      </c>
      <c r="M21">
        <v>52.603000000000002</v>
      </c>
      <c r="N21">
        <v>8.4920000000000009</v>
      </c>
      <c r="O21">
        <v>0.96099999999999997</v>
      </c>
      <c r="P21">
        <v>3.2389999999999999</v>
      </c>
      <c r="Q21">
        <v>0</v>
      </c>
      <c r="R21">
        <v>51.348999999999997</v>
      </c>
      <c r="S21">
        <v>51.6</v>
      </c>
      <c r="T21">
        <v>11</v>
      </c>
    </row>
    <row r="22" spans="1:20" x14ac:dyDescent="0.3">
      <c r="A22" t="s">
        <v>488</v>
      </c>
      <c r="B22">
        <v>240.31800000000001</v>
      </c>
      <c r="C22">
        <v>100</v>
      </c>
      <c r="D22">
        <v>18.564</v>
      </c>
      <c r="E22">
        <v>0.44400000000000001</v>
      </c>
      <c r="F22">
        <v>78.864000000000004</v>
      </c>
      <c r="G22">
        <v>7.7359999999999998</v>
      </c>
      <c r="H22">
        <v>106.396</v>
      </c>
      <c r="I22">
        <v>36.731999999999999</v>
      </c>
      <c r="J22">
        <v>5.8979999999999997</v>
      </c>
      <c r="K22">
        <v>230.45400000000001</v>
      </c>
      <c r="L22">
        <v>8.4580000000000002</v>
      </c>
      <c r="M22">
        <v>52.637999999999998</v>
      </c>
      <c r="N22">
        <v>8.4930000000000003</v>
      </c>
      <c r="O22">
        <v>0.95299999999999996</v>
      </c>
      <c r="P22">
        <v>3.2480000000000002</v>
      </c>
      <c r="Q22">
        <v>0</v>
      </c>
      <c r="R22">
        <v>51.439</v>
      </c>
      <c r="S22">
        <v>51.6</v>
      </c>
      <c r="T22">
        <v>11</v>
      </c>
    </row>
    <row r="23" spans="1:20" x14ac:dyDescent="0.3">
      <c r="A23" t="s">
        <v>489</v>
      </c>
      <c r="B23">
        <v>240.036</v>
      </c>
      <c r="C23">
        <v>100</v>
      </c>
      <c r="D23">
        <v>18.584</v>
      </c>
      <c r="E23">
        <v>0.35099999999999998</v>
      </c>
      <c r="F23">
        <v>79.176000000000002</v>
      </c>
      <c r="G23">
        <v>7.9420000000000002</v>
      </c>
      <c r="H23">
        <v>106.65300000000001</v>
      </c>
      <c r="I23">
        <v>36.81</v>
      </c>
      <c r="J23">
        <v>5.899</v>
      </c>
      <c r="K23">
        <v>230.30600000000001</v>
      </c>
      <c r="L23">
        <v>8.39</v>
      </c>
      <c r="M23">
        <v>36.863999999999997</v>
      </c>
      <c r="N23">
        <v>8.4870000000000001</v>
      </c>
      <c r="O23">
        <v>0.96199999999999997</v>
      </c>
      <c r="P23">
        <v>3.2389999999999999</v>
      </c>
      <c r="Q23">
        <v>0</v>
      </c>
      <c r="R23">
        <v>51.545000000000002</v>
      </c>
      <c r="S23">
        <v>51.5</v>
      </c>
      <c r="T23">
        <v>11</v>
      </c>
    </row>
    <row r="24" spans="1:20" x14ac:dyDescent="0.3">
      <c r="A24" t="s">
        <v>490</v>
      </c>
      <c r="B24">
        <v>239.78800000000001</v>
      </c>
      <c r="C24">
        <v>100</v>
      </c>
      <c r="D24">
        <v>18.652999999999999</v>
      </c>
      <c r="E24">
        <v>0.39500000000000002</v>
      </c>
      <c r="F24">
        <v>79.501000000000005</v>
      </c>
      <c r="G24">
        <v>7.8940000000000001</v>
      </c>
      <c r="H24">
        <v>106.80800000000001</v>
      </c>
      <c r="I24">
        <v>36.51</v>
      </c>
      <c r="J24">
        <v>5.8979999999999997</v>
      </c>
      <c r="K24">
        <v>230.43700000000001</v>
      </c>
      <c r="L24">
        <v>8.5359999999999996</v>
      </c>
      <c r="M24">
        <v>52.594999999999999</v>
      </c>
      <c r="N24">
        <v>8.49</v>
      </c>
      <c r="O24">
        <v>0.95499999999999996</v>
      </c>
      <c r="P24">
        <v>3.2370000000000001</v>
      </c>
      <c r="Q24">
        <v>0</v>
      </c>
      <c r="R24">
        <v>51.661000000000001</v>
      </c>
      <c r="S24">
        <v>51.5</v>
      </c>
      <c r="T24">
        <v>11</v>
      </c>
    </row>
    <row r="25" spans="1:20" ht="15" thickBot="1" x14ac:dyDescent="0.35">
      <c r="A25" t="s">
        <v>491</v>
      </c>
      <c r="B25">
        <v>239.958</v>
      </c>
      <c r="C25">
        <v>100</v>
      </c>
      <c r="D25">
        <v>18.692</v>
      </c>
      <c r="E25">
        <v>0.501</v>
      </c>
      <c r="F25">
        <v>80.158000000000001</v>
      </c>
      <c r="G25">
        <v>7.7939999999999996</v>
      </c>
      <c r="H25">
        <v>106.64400000000001</v>
      </c>
      <c r="I25">
        <v>36.506</v>
      </c>
      <c r="J25">
        <v>5.8929999999999998</v>
      </c>
      <c r="K25">
        <v>230.142</v>
      </c>
      <c r="L25">
        <v>8.5289999999999999</v>
      </c>
      <c r="M25">
        <v>52.526000000000003</v>
      </c>
      <c r="N25">
        <v>8.4930000000000003</v>
      </c>
      <c r="O25">
        <v>0.96</v>
      </c>
      <c r="P25">
        <v>3.226</v>
      </c>
      <c r="Q25">
        <v>0</v>
      </c>
      <c r="R25">
        <v>51.768000000000001</v>
      </c>
      <c r="S25">
        <v>51.5</v>
      </c>
      <c r="T25">
        <v>11</v>
      </c>
    </row>
    <row r="26" spans="1:20" ht="15" thickBot="1" x14ac:dyDescent="0.35">
      <c r="A26" t="s">
        <v>0</v>
      </c>
      <c r="B26" s="1">
        <f t="shared" ref="B26:S26" si="0">AVERAGE(B6:B25)</f>
        <v>239.71725000000001</v>
      </c>
      <c r="C26" s="1">
        <f t="shared" si="0"/>
        <v>100</v>
      </c>
      <c r="D26" s="1">
        <f t="shared" si="0"/>
        <v>18.550750000000004</v>
      </c>
      <c r="E26" s="10">
        <f t="shared" si="0"/>
        <v>0.43814999999999998</v>
      </c>
      <c r="F26" s="1">
        <f t="shared" si="0"/>
        <v>79.759050000000002</v>
      </c>
      <c r="G26" s="1">
        <f t="shared" si="0"/>
        <v>7.9153000000000002</v>
      </c>
      <c r="H26" s="10">
        <f t="shared" si="0"/>
        <v>106.34265000000001</v>
      </c>
      <c r="I26" s="1">
        <f t="shared" si="0"/>
        <v>36.692049999999988</v>
      </c>
      <c r="J26" s="8">
        <f t="shared" si="0"/>
        <v>5.9300000000000006</v>
      </c>
      <c r="K26" s="1">
        <f t="shared" si="0"/>
        <v>230.31580000000002</v>
      </c>
      <c r="L26" s="1">
        <f t="shared" si="0"/>
        <v>8.6663499999999996</v>
      </c>
      <c r="M26" s="1">
        <f t="shared" si="0"/>
        <v>51.838800000000006</v>
      </c>
      <c r="N26" s="1">
        <f t="shared" si="0"/>
        <v>8.621599999999999</v>
      </c>
      <c r="O26" s="1">
        <f t="shared" si="0"/>
        <v>0.94659999999999977</v>
      </c>
      <c r="P26" s="1">
        <f t="shared" si="0"/>
        <v>3.2368999999999994</v>
      </c>
      <c r="Q26" s="1">
        <f t="shared" si="0"/>
        <v>0</v>
      </c>
      <c r="R26" s="1">
        <f t="shared" si="0"/>
        <v>51.453199999999995</v>
      </c>
      <c r="S26" s="1">
        <f t="shared" si="0"/>
        <v>51.515000000000008</v>
      </c>
      <c r="T26" s="8">
        <f>AVERAGE(T6:T25)</f>
        <v>11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2.2902999999999998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ABE7-0F95-4920-BC87-F00E68B8C0D4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5" sqref="M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0.45974537037037039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49.982241479961345</v>
      </c>
      <c r="M2" s="8">
        <f>(H26*0.001*60)*(K2/100)*(G2/I2)</f>
        <v>2.5352777958689252</v>
      </c>
      <c r="O2" s="9">
        <f>100*((E26*C2)/((E26*C2)+(M2*E2)))</f>
        <v>13.657078068833355</v>
      </c>
      <c r="Q2" s="10">
        <f>100*J26*(1/(((C2/3.6)*E26)+((E2/3.6)*M2)))</f>
        <v>19.386485348532513</v>
      </c>
      <c r="S2" s="6">
        <v>3.54</v>
      </c>
      <c r="U2" s="10">
        <f>100*((((G26*0.001*60)*(C26-D26)*(S2/3.6)))/(((C2/3.6)*E26)+((E2/3.6)*M2)))</f>
        <v>118.59145206261243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492</v>
      </c>
      <c r="B6">
        <v>277.85300000000001</v>
      </c>
      <c r="C6">
        <v>100</v>
      </c>
      <c r="D6">
        <v>22.756</v>
      </c>
      <c r="E6">
        <v>0.51100000000000001</v>
      </c>
      <c r="F6">
        <v>80.617999999999995</v>
      </c>
      <c r="G6">
        <v>10.132999999999999</v>
      </c>
      <c r="H6">
        <v>118.35</v>
      </c>
      <c r="I6">
        <v>37.195999999999998</v>
      </c>
      <c r="J6">
        <v>7.907</v>
      </c>
      <c r="K6">
        <v>230.339</v>
      </c>
      <c r="L6">
        <v>11.513</v>
      </c>
      <c r="M6">
        <v>52.54</v>
      </c>
      <c r="N6">
        <v>11.395</v>
      </c>
      <c r="O6">
        <v>0.99</v>
      </c>
      <c r="P6">
        <v>3.1259999999999999</v>
      </c>
      <c r="Q6">
        <v>0</v>
      </c>
      <c r="R6">
        <v>57.015999999999998</v>
      </c>
      <c r="S6">
        <v>56.8</v>
      </c>
      <c r="T6">
        <v>16</v>
      </c>
    </row>
    <row r="7" spans="1:21" x14ac:dyDescent="0.3">
      <c r="A7" t="s">
        <v>493</v>
      </c>
      <c r="B7">
        <v>277.70600000000002</v>
      </c>
      <c r="C7">
        <v>100</v>
      </c>
      <c r="D7">
        <v>22.69</v>
      </c>
      <c r="E7">
        <v>0.55000000000000004</v>
      </c>
      <c r="F7">
        <v>80.352000000000004</v>
      </c>
      <c r="G7">
        <v>10.199</v>
      </c>
      <c r="H7">
        <v>118.246</v>
      </c>
      <c r="I7">
        <v>37.020000000000003</v>
      </c>
      <c r="J7">
        <v>7.9169999999999998</v>
      </c>
      <c r="K7">
        <v>230.56899999999999</v>
      </c>
      <c r="L7">
        <v>11.298</v>
      </c>
      <c r="M7">
        <v>52.575000000000003</v>
      </c>
      <c r="N7">
        <v>11.395</v>
      </c>
      <c r="O7">
        <v>0.96299999999999997</v>
      </c>
      <c r="P7">
        <v>3.117</v>
      </c>
      <c r="Q7">
        <v>0</v>
      </c>
      <c r="R7">
        <v>57.198</v>
      </c>
      <c r="S7">
        <v>57</v>
      </c>
      <c r="T7">
        <v>16</v>
      </c>
    </row>
    <row r="8" spans="1:21" x14ac:dyDescent="0.3">
      <c r="A8" t="s">
        <v>494</v>
      </c>
      <c r="B8">
        <v>277.00900000000001</v>
      </c>
      <c r="C8">
        <v>100</v>
      </c>
      <c r="D8">
        <v>22.651</v>
      </c>
      <c r="E8">
        <v>0.51500000000000001</v>
      </c>
      <c r="F8">
        <v>80.569000000000003</v>
      </c>
      <c r="G8">
        <v>10.69</v>
      </c>
      <c r="H8">
        <v>118.489</v>
      </c>
      <c r="I8">
        <v>36.912999999999997</v>
      </c>
      <c r="J8">
        <v>7.9059999999999997</v>
      </c>
      <c r="K8">
        <v>230.42099999999999</v>
      </c>
      <c r="L8">
        <v>11.436</v>
      </c>
      <c r="M8">
        <v>52.587000000000003</v>
      </c>
      <c r="N8">
        <v>11.391999999999999</v>
      </c>
      <c r="O8">
        <v>0.95899999999999996</v>
      </c>
      <c r="P8">
        <v>3.0710000000000002</v>
      </c>
      <c r="Q8">
        <v>0</v>
      </c>
      <c r="R8">
        <v>57.308999999999997</v>
      </c>
      <c r="S8">
        <v>57.1</v>
      </c>
      <c r="T8">
        <v>16</v>
      </c>
    </row>
    <row r="9" spans="1:21" x14ac:dyDescent="0.3">
      <c r="A9" t="s">
        <v>495</v>
      </c>
      <c r="B9">
        <v>277.01400000000001</v>
      </c>
      <c r="C9">
        <v>100</v>
      </c>
      <c r="D9">
        <v>22.707000000000001</v>
      </c>
      <c r="E9">
        <v>0.41799999999999998</v>
      </c>
      <c r="F9">
        <v>81.295000000000002</v>
      </c>
      <c r="G9">
        <v>11.016999999999999</v>
      </c>
      <c r="H9">
        <v>118.074</v>
      </c>
      <c r="I9">
        <v>37.024000000000001</v>
      </c>
      <c r="J9">
        <v>7.9139999999999997</v>
      </c>
      <c r="K9">
        <v>230.733</v>
      </c>
      <c r="L9">
        <v>11.47</v>
      </c>
      <c r="M9">
        <v>52.512</v>
      </c>
      <c r="N9">
        <v>11.393000000000001</v>
      </c>
      <c r="O9">
        <v>0.95899999999999996</v>
      </c>
      <c r="P9">
        <v>3.1469999999999998</v>
      </c>
      <c r="Q9">
        <v>0</v>
      </c>
      <c r="R9">
        <v>57.116</v>
      </c>
      <c r="S9">
        <v>57</v>
      </c>
      <c r="T9">
        <v>16</v>
      </c>
    </row>
    <row r="10" spans="1:21" x14ac:dyDescent="0.3">
      <c r="A10" t="s">
        <v>496</v>
      </c>
      <c r="B10">
        <v>277.31299999999999</v>
      </c>
      <c r="C10">
        <v>100</v>
      </c>
      <c r="D10">
        <v>22.716000000000001</v>
      </c>
      <c r="E10">
        <v>0.379</v>
      </c>
      <c r="F10">
        <v>81.206000000000003</v>
      </c>
      <c r="G10">
        <v>10.891999999999999</v>
      </c>
      <c r="H10">
        <v>118.16500000000001</v>
      </c>
      <c r="I10">
        <v>37.314999999999998</v>
      </c>
      <c r="J10">
        <v>7.907</v>
      </c>
      <c r="K10">
        <v>230.322</v>
      </c>
      <c r="L10">
        <v>11.439</v>
      </c>
      <c r="M10">
        <v>52.566000000000003</v>
      </c>
      <c r="N10">
        <v>11.371</v>
      </c>
      <c r="O10">
        <v>0.97699999999999998</v>
      </c>
      <c r="P10">
        <v>3.1320000000000001</v>
      </c>
      <c r="Q10">
        <v>0</v>
      </c>
      <c r="R10">
        <v>56.902999999999999</v>
      </c>
      <c r="S10">
        <v>57.1</v>
      </c>
      <c r="T10">
        <v>16</v>
      </c>
    </row>
    <row r="11" spans="1:21" x14ac:dyDescent="0.3">
      <c r="A11" t="s">
        <v>497</v>
      </c>
      <c r="B11">
        <v>276.72800000000001</v>
      </c>
      <c r="C11">
        <v>100</v>
      </c>
      <c r="D11">
        <v>22.789000000000001</v>
      </c>
      <c r="E11">
        <v>0.379</v>
      </c>
      <c r="F11">
        <v>81.028999999999996</v>
      </c>
      <c r="G11">
        <v>10.069000000000001</v>
      </c>
      <c r="H11">
        <v>118.142</v>
      </c>
      <c r="I11">
        <v>36.838999999999999</v>
      </c>
      <c r="J11">
        <v>7.915</v>
      </c>
      <c r="K11">
        <v>230.51900000000001</v>
      </c>
      <c r="L11">
        <v>11.449</v>
      </c>
      <c r="M11">
        <v>52.643999999999998</v>
      </c>
      <c r="N11">
        <v>11.395</v>
      </c>
      <c r="O11">
        <v>0.96699999999999997</v>
      </c>
      <c r="P11">
        <v>3.1349999999999998</v>
      </c>
      <c r="Q11">
        <v>0</v>
      </c>
      <c r="R11">
        <v>56.933</v>
      </c>
      <c r="S11">
        <v>57.1</v>
      </c>
      <c r="T11">
        <v>16</v>
      </c>
    </row>
    <row r="12" spans="1:21" x14ac:dyDescent="0.3">
      <c r="A12" t="s">
        <v>498</v>
      </c>
      <c r="B12">
        <v>277.25299999999999</v>
      </c>
      <c r="C12">
        <v>100</v>
      </c>
      <c r="D12">
        <v>22.904</v>
      </c>
      <c r="E12">
        <v>0.51100000000000001</v>
      </c>
      <c r="F12">
        <v>79.301000000000002</v>
      </c>
      <c r="G12">
        <v>10.523999999999999</v>
      </c>
      <c r="H12">
        <v>118.44499999999999</v>
      </c>
      <c r="I12">
        <v>37.085000000000001</v>
      </c>
      <c r="J12">
        <v>7.91</v>
      </c>
      <c r="K12">
        <v>230.42099999999999</v>
      </c>
      <c r="L12">
        <v>11.442</v>
      </c>
      <c r="M12">
        <v>52.664000000000001</v>
      </c>
      <c r="N12">
        <v>11.398</v>
      </c>
      <c r="O12">
        <v>0.97399999999999998</v>
      </c>
      <c r="P12">
        <v>3.11</v>
      </c>
      <c r="Q12">
        <v>0</v>
      </c>
      <c r="R12">
        <v>57.067</v>
      </c>
      <c r="S12">
        <v>57</v>
      </c>
      <c r="T12">
        <v>16</v>
      </c>
    </row>
    <row r="13" spans="1:21" x14ac:dyDescent="0.3">
      <c r="A13" t="s">
        <v>499</v>
      </c>
      <c r="B13">
        <v>277.77600000000001</v>
      </c>
      <c r="C13">
        <v>100</v>
      </c>
      <c r="D13">
        <v>22.927</v>
      </c>
      <c r="E13">
        <v>0.52800000000000002</v>
      </c>
      <c r="F13">
        <v>80.953000000000003</v>
      </c>
      <c r="G13">
        <v>10.842000000000001</v>
      </c>
      <c r="H13">
        <v>118.556</v>
      </c>
      <c r="I13">
        <v>37.204000000000001</v>
      </c>
      <c r="J13">
        <v>7.915</v>
      </c>
      <c r="K13">
        <v>230.601</v>
      </c>
      <c r="L13">
        <v>11.456</v>
      </c>
      <c r="M13">
        <v>52.453000000000003</v>
      </c>
      <c r="N13">
        <v>11.395</v>
      </c>
      <c r="O13">
        <v>0.97699999999999998</v>
      </c>
      <c r="P13">
        <v>3.1240000000000001</v>
      </c>
      <c r="Q13">
        <v>0</v>
      </c>
      <c r="R13">
        <v>57.24</v>
      </c>
      <c r="S13">
        <v>57.1</v>
      </c>
      <c r="T13">
        <v>16</v>
      </c>
    </row>
    <row r="14" spans="1:21" x14ac:dyDescent="0.3">
      <c r="A14" t="s">
        <v>500</v>
      </c>
      <c r="B14">
        <v>278.03699999999998</v>
      </c>
      <c r="C14">
        <v>100</v>
      </c>
      <c r="D14">
        <v>23.021999999999998</v>
      </c>
      <c r="E14">
        <v>0.495</v>
      </c>
      <c r="F14">
        <v>80.858000000000004</v>
      </c>
      <c r="G14">
        <v>10.294</v>
      </c>
      <c r="H14">
        <v>118.532</v>
      </c>
      <c r="I14">
        <v>36.987000000000002</v>
      </c>
      <c r="J14">
        <v>7.9050000000000002</v>
      </c>
      <c r="K14">
        <v>230.28899999999999</v>
      </c>
      <c r="L14">
        <v>11.444000000000001</v>
      </c>
      <c r="M14">
        <v>52.518000000000001</v>
      </c>
      <c r="N14">
        <v>11.388</v>
      </c>
      <c r="O14">
        <v>0.96399999999999997</v>
      </c>
      <c r="P14">
        <v>3.1240000000000001</v>
      </c>
      <c r="Q14">
        <v>0</v>
      </c>
      <c r="R14">
        <v>57.314</v>
      </c>
      <c r="S14">
        <v>57.2</v>
      </c>
      <c r="T14">
        <v>16</v>
      </c>
    </row>
    <row r="15" spans="1:21" x14ac:dyDescent="0.3">
      <c r="A15" t="s">
        <v>501</v>
      </c>
      <c r="B15">
        <v>277.99099999999999</v>
      </c>
      <c r="C15">
        <v>100</v>
      </c>
      <c r="D15">
        <v>23.18</v>
      </c>
      <c r="E15">
        <v>0.43099999999999999</v>
      </c>
      <c r="F15">
        <v>79.537000000000006</v>
      </c>
      <c r="G15">
        <v>10.422000000000001</v>
      </c>
      <c r="H15">
        <v>118.248</v>
      </c>
      <c r="I15">
        <v>37.094000000000001</v>
      </c>
      <c r="J15">
        <v>7.915</v>
      </c>
      <c r="K15">
        <v>230.536</v>
      </c>
      <c r="L15">
        <v>11.446</v>
      </c>
      <c r="M15">
        <v>52.677999999999997</v>
      </c>
      <c r="N15">
        <v>11.395</v>
      </c>
      <c r="O15">
        <v>0.97199999999999998</v>
      </c>
      <c r="P15">
        <v>3.105</v>
      </c>
      <c r="Q15">
        <v>0</v>
      </c>
      <c r="R15">
        <v>57.113999999999997</v>
      </c>
      <c r="S15">
        <v>57</v>
      </c>
      <c r="T15">
        <v>16</v>
      </c>
    </row>
    <row r="16" spans="1:21" x14ac:dyDescent="0.3">
      <c r="A16" t="s">
        <v>502</v>
      </c>
      <c r="B16">
        <v>277.62200000000001</v>
      </c>
      <c r="C16">
        <v>100</v>
      </c>
      <c r="D16">
        <v>23.097999999999999</v>
      </c>
      <c r="E16">
        <v>0.378</v>
      </c>
      <c r="F16">
        <v>80.066000000000003</v>
      </c>
      <c r="G16">
        <v>10.840999999999999</v>
      </c>
      <c r="H16">
        <v>118.265</v>
      </c>
      <c r="I16">
        <v>37.085000000000001</v>
      </c>
      <c r="J16">
        <v>7.9109999999999996</v>
      </c>
      <c r="K16">
        <v>230.58500000000001</v>
      </c>
      <c r="L16">
        <v>11.455</v>
      </c>
      <c r="M16">
        <v>52.703000000000003</v>
      </c>
      <c r="N16">
        <v>11.395</v>
      </c>
      <c r="O16">
        <v>0.95399999999999996</v>
      </c>
      <c r="P16">
        <v>3.125</v>
      </c>
      <c r="Q16">
        <v>0</v>
      </c>
      <c r="R16">
        <v>56.896999999999998</v>
      </c>
      <c r="S16">
        <v>57.2</v>
      </c>
      <c r="T16">
        <v>16</v>
      </c>
    </row>
    <row r="17" spans="1:20" x14ac:dyDescent="0.3">
      <c r="A17" t="s">
        <v>503</v>
      </c>
      <c r="B17">
        <v>277.27</v>
      </c>
      <c r="C17">
        <v>100</v>
      </c>
      <c r="D17">
        <v>22.989000000000001</v>
      </c>
      <c r="E17">
        <v>0.46500000000000002</v>
      </c>
      <c r="F17">
        <v>81.064999999999998</v>
      </c>
      <c r="G17">
        <v>10.585000000000001</v>
      </c>
      <c r="H17">
        <v>118.19499999999999</v>
      </c>
      <c r="I17">
        <v>36.453000000000003</v>
      </c>
      <c r="J17">
        <v>7.9169999999999998</v>
      </c>
      <c r="K17">
        <v>230.63399999999999</v>
      </c>
      <c r="L17">
        <v>11.388</v>
      </c>
      <c r="M17">
        <v>52.65</v>
      </c>
      <c r="N17">
        <v>11.396000000000001</v>
      </c>
      <c r="O17">
        <v>0.94</v>
      </c>
      <c r="P17">
        <v>3.1179999999999999</v>
      </c>
      <c r="Q17">
        <v>0</v>
      </c>
      <c r="R17">
        <v>56.97</v>
      </c>
      <c r="S17">
        <v>57</v>
      </c>
      <c r="T17">
        <v>16</v>
      </c>
    </row>
    <row r="18" spans="1:20" x14ac:dyDescent="0.3">
      <c r="A18" t="s">
        <v>504</v>
      </c>
      <c r="B18">
        <v>277.25200000000001</v>
      </c>
      <c r="C18">
        <v>100</v>
      </c>
      <c r="D18">
        <v>23.035</v>
      </c>
      <c r="E18">
        <v>0.54100000000000004</v>
      </c>
      <c r="F18">
        <v>79.988</v>
      </c>
      <c r="G18">
        <v>10.603</v>
      </c>
      <c r="H18">
        <v>118.572</v>
      </c>
      <c r="I18">
        <v>36.945999999999998</v>
      </c>
      <c r="J18">
        <v>7.9059999999999997</v>
      </c>
      <c r="K18">
        <v>230.28899999999999</v>
      </c>
      <c r="L18">
        <v>11.34</v>
      </c>
      <c r="M18">
        <v>52.625</v>
      </c>
      <c r="N18">
        <v>11.39</v>
      </c>
      <c r="O18">
        <v>0.97799999999999998</v>
      </c>
      <c r="P18">
        <v>3.1190000000000002</v>
      </c>
      <c r="Q18">
        <v>0</v>
      </c>
      <c r="R18">
        <v>57.158999999999999</v>
      </c>
      <c r="S18">
        <v>57.1</v>
      </c>
      <c r="T18">
        <v>16</v>
      </c>
    </row>
    <row r="19" spans="1:20" x14ac:dyDescent="0.3">
      <c r="A19" t="s">
        <v>505</v>
      </c>
      <c r="B19">
        <v>277.64400000000001</v>
      </c>
      <c r="C19">
        <v>100</v>
      </c>
      <c r="D19">
        <v>22.890999999999998</v>
      </c>
      <c r="E19">
        <v>0.47</v>
      </c>
      <c r="F19">
        <v>81.206000000000003</v>
      </c>
      <c r="G19">
        <v>10.648999999999999</v>
      </c>
      <c r="H19">
        <v>118.52</v>
      </c>
      <c r="I19">
        <v>37.11</v>
      </c>
      <c r="J19">
        <v>7.9160000000000004</v>
      </c>
      <c r="K19">
        <v>230.63399999999999</v>
      </c>
      <c r="L19">
        <v>11.351000000000001</v>
      </c>
      <c r="M19">
        <v>52.658000000000001</v>
      </c>
      <c r="N19">
        <v>11.388</v>
      </c>
      <c r="O19">
        <v>0.96299999999999997</v>
      </c>
      <c r="P19">
        <v>3.13</v>
      </c>
      <c r="Q19">
        <v>0</v>
      </c>
      <c r="R19">
        <v>57.298999999999999</v>
      </c>
      <c r="S19">
        <v>57</v>
      </c>
      <c r="T19">
        <v>16</v>
      </c>
    </row>
    <row r="20" spans="1:20" x14ac:dyDescent="0.3">
      <c r="A20" t="s">
        <v>506</v>
      </c>
      <c r="B20">
        <v>277.83800000000002</v>
      </c>
      <c r="C20">
        <v>100</v>
      </c>
      <c r="D20">
        <v>22.768999999999998</v>
      </c>
      <c r="E20">
        <v>0.39700000000000002</v>
      </c>
      <c r="F20">
        <v>79.846000000000004</v>
      </c>
      <c r="G20">
        <v>10.461</v>
      </c>
      <c r="H20">
        <v>118.505</v>
      </c>
      <c r="I20">
        <v>36.634</v>
      </c>
      <c r="J20">
        <v>7.9059999999999997</v>
      </c>
      <c r="K20">
        <v>230.28899999999999</v>
      </c>
      <c r="L20">
        <v>11.349</v>
      </c>
      <c r="M20">
        <v>52.588999999999999</v>
      </c>
      <c r="N20">
        <v>11.388999999999999</v>
      </c>
      <c r="O20">
        <v>0.96399999999999997</v>
      </c>
      <c r="P20">
        <v>3.1019999999999999</v>
      </c>
      <c r="Q20">
        <v>0</v>
      </c>
      <c r="R20">
        <v>57.220999999999997</v>
      </c>
      <c r="S20">
        <v>57.1</v>
      </c>
      <c r="T20">
        <v>16</v>
      </c>
    </row>
    <row r="21" spans="1:20" x14ac:dyDescent="0.3">
      <c r="A21" t="s">
        <v>507</v>
      </c>
      <c r="B21">
        <v>277.25599999999997</v>
      </c>
      <c r="C21">
        <v>100</v>
      </c>
      <c r="D21">
        <v>22.684000000000001</v>
      </c>
      <c r="E21">
        <v>0.44600000000000001</v>
      </c>
      <c r="F21">
        <v>81.768000000000001</v>
      </c>
      <c r="G21">
        <v>11.153</v>
      </c>
      <c r="H21">
        <v>118.247</v>
      </c>
      <c r="I21">
        <v>37.036000000000001</v>
      </c>
      <c r="J21">
        <v>7.9089999999999998</v>
      </c>
      <c r="K21">
        <v>230.142</v>
      </c>
      <c r="L21">
        <v>11.584</v>
      </c>
      <c r="M21">
        <v>52.527999999999999</v>
      </c>
      <c r="N21">
        <v>11.391</v>
      </c>
      <c r="O21">
        <v>0.96199999999999997</v>
      </c>
      <c r="P21">
        <v>3.1190000000000002</v>
      </c>
      <c r="Q21">
        <v>0</v>
      </c>
      <c r="R21">
        <v>56.966999999999999</v>
      </c>
      <c r="S21">
        <v>57.1</v>
      </c>
      <c r="T21">
        <v>16</v>
      </c>
    </row>
    <row r="22" spans="1:20" x14ac:dyDescent="0.3">
      <c r="A22" t="s">
        <v>508</v>
      </c>
      <c r="B22">
        <v>277.53300000000002</v>
      </c>
      <c r="C22">
        <v>100</v>
      </c>
      <c r="D22">
        <v>22.526</v>
      </c>
      <c r="E22">
        <v>0.496</v>
      </c>
      <c r="F22">
        <v>80.837999999999994</v>
      </c>
      <c r="G22">
        <v>10.815</v>
      </c>
      <c r="H22">
        <v>118.238</v>
      </c>
      <c r="I22">
        <v>37.554000000000002</v>
      </c>
      <c r="J22">
        <v>7.9059999999999997</v>
      </c>
      <c r="K22">
        <v>230.48599999999999</v>
      </c>
      <c r="L22">
        <v>11.455</v>
      </c>
      <c r="M22">
        <v>52.627000000000002</v>
      </c>
      <c r="N22">
        <v>11.391</v>
      </c>
      <c r="O22">
        <v>0.94899999999999995</v>
      </c>
      <c r="P22">
        <v>3.1160000000000001</v>
      </c>
      <c r="Q22">
        <v>0</v>
      </c>
      <c r="R22">
        <v>56.923999999999999</v>
      </c>
      <c r="S22">
        <v>57.1</v>
      </c>
      <c r="T22">
        <v>16</v>
      </c>
    </row>
    <row r="23" spans="1:20" x14ac:dyDescent="0.3">
      <c r="A23" t="s">
        <v>509</v>
      </c>
      <c r="B23">
        <v>278.14299999999997</v>
      </c>
      <c r="C23">
        <v>100</v>
      </c>
      <c r="D23">
        <v>22.440999999999999</v>
      </c>
      <c r="E23">
        <v>0.54900000000000004</v>
      </c>
      <c r="F23">
        <v>79.540999999999997</v>
      </c>
      <c r="G23">
        <v>10.311999999999999</v>
      </c>
      <c r="H23">
        <v>118.364</v>
      </c>
      <c r="I23">
        <v>36.850999999999999</v>
      </c>
      <c r="J23">
        <v>7.915</v>
      </c>
      <c r="K23">
        <v>230.536</v>
      </c>
      <c r="L23">
        <v>11.452</v>
      </c>
      <c r="M23">
        <v>52.593000000000004</v>
      </c>
      <c r="N23">
        <v>11.385999999999999</v>
      </c>
      <c r="O23">
        <v>0.97499999999999998</v>
      </c>
      <c r="P23">
        <v>3.1080000000000001</v>
      </c>
      <c r="Q23">
        <v>0</v>
      </c>
      <c r="R23">
        <v>57.03</v>
      </c>
      <c r="S23">
        <v>57</v>
      </c>
      <c r="T23">
        <v>16</v>
      </c>
    </row>
    <row r="24" spans="1:20" x14ac:dyDescent="0.3">
      <c r="A24" t="s">
        <v>510</v>
      </c>
      <c r="B24">
        <v>278.04199999999997</v>
      </c>
      <c r="C24">
        <v>100</v>
      </c>
      <c r="D24">
        <v>22.45</v>
      </c>
      <c r="E24">
        <v>0.53500000000000003</v>
      </c>
      <c r="F24">
        <v>80.525999999999996</v>
      </c>
      <c r="G24">
        <v>10.834</v>
      </c>
      <c r="H24">
        <v>118.307</v>
      </c>
      <c r="I24">
        <v>36.86</v>
      </c>
      <c r="J24">
        <v>7.9059999999999997</v>
      </c>
      <c r="K24">
        <v>230.47</v>
      </c>
      <c r="L24">
        <v>11.504</v>
      </c>
      <c r="M24">
        <v>52.688000000000002</v>
      </c>
      <c r="N24">
        <v>11.353999999999999</v>
      </c>
      <c r="O24">
        <v>0.98599999999999999</v>
      </c>
      <c r="P24">
        <v>3.1480000000000001</v>
      </c>
      <c r="Q24">
        <v>0</v>
      </c>
      <c r="R24">
        <v>57.128</v>
      </c>
      <c r="S24">
        <v>57.2</v>
      </c>
      <c r="T24">
        <v>16</v>
      </c>
    </row>
    <row r="25" spans="1:20" ht="15" thickBot="1" x14ac:dyDescent="0.35">
      <c r="A25" t="s">
        <v>511</v>
      </c>
      <c r="B25">
        <v>278.02499999999998</v>
      </c>
      <c r="C25">
        <v>100</v>
      </c>
      <c r="D25">
        <v>22.454000000000001</v>
      </c>
      <c r="E25">
        <v>0.40300000000000002</v>
      </c>
      <c r="F25">
        <v>81.328000000000003</v>
      </c>
      <c r="G25">
        <v>11.112</v>
      </c>
      <c r="H25">
        <v>118.64</v>
      </c>
      <c r="I25">
        <v>37.274000000000001</v>
      </c>
      <c r="J25">
        <v>7.915</v>
      </c>
      <c r="K25">
        <v>230.601</v>
      </c>
      <c r="L25">
        <v>11.455</v>
      </c>
      <c r="M25">
        <v>52.493000000000002</v>
      </c>
      <c r="N25">
        <v>11.393000000000001</v>
      </c>
      <c r="O25">
        <v>0.94699999999999995</v>
      </c>
      <c r="P25">
        <v>3.1339999999999999</v>
      </c>
      <c r="Q25">
        <v>0</v>
      </c>
      <c r="R25">
        <v>57.305999999999997</v>
      </c>
      <c r="S25">
        <v>57.1</v>
      </c>
      <c r="T25">
        <v>16</v>
      </c>
    </row>
    <row r="26" spans="1:20" ht="15" thickBot="1" x14ac:dyDescent="0.35">
      <c r="A26" t="s">
        <v>0</v>
      </c>
      <c r="B26" s="1">
        <f t="shared" ref="B26:S26" si="0">AVERAGE(B6:B25)</f>
        <v>277.56524999999999</v>
      </c>
      <c r="C26" s="1">
        <f t="shared" si="0"/>
        <v>100</v>
      </c>
      <c r="D26" s="1">
        <f t="shared" si="0"/>
        <v>22.783950000000001</v>
      </c>
      <c r="E26" s="10">
        <f t="shared" si="0"/>
        <v>0.46984999999999999</v>
      </c>
      <c r="F26" s="1">
        <f t="shared" si="0"/>
        <v>80.594500000000011</v>
      </c>
      <c r="G26" s="1">
        <f t="shared" si="0"/>
        <v>10.622350000000001</v>
      </c>
      <c r="H26" s="10">
        <f t="shared" si="0"/>
        <v>118.35499999999999</v>
      </c>
      <c r="I26" s="1">
        <f t="shared" si="0"/>
        <v>37.024000000000001</v>
      </c>
      <c r="J26" s="8">
        <f t="shared" si="0"/>
        <v>7.9109000000000007</v>
      </c>
      <c r="K26" s="1">
        <f t="shared" si="0"/>
        <v>230.47079999999997</v>
      </c>
      <c r="L26" s="1">
        <f t="shared" si="0"/>
        <v>11.436299999999999</v>
      </c>
      <c r="M26" s="1">
        <f t="shared" si="0"/>
        <v>52.594549999999991</v>
      </c>
      <c r="N26" s="1">
        <f t="shared" si="0"/>
        <v>11.3895</v>
      </c>
      <c r="O26" s="1">
        <f t="shared" si="0"/>
        <v>0.96599999999999997</v>
      </c>
      <c r="P26" s="1">
        <f t="shared" si="0"/>
        <v>3.1205000000000003</v>
      </c>
      <c r="Q26" s="1">
        <f t="shared" si="0"/>
        <v>0</v>
      </c>
      <c r="R26" s="1">
        <f t="shared" si="0"/>
        <v>57.105550000000008</v>
      </c>
      <c r="S26" s="1">
        <f t="shared" si="0"/>
        <v>57.065000000000012</v>
      </c>
      <c r="T26" s="8">
        <f>AVERAGE(T6:T25)</f>
        <v>16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2.1545000000000005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20EB-D6A7-461A-8CF2-26E5BFEAA15B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4" sqref="M34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0.46134259259259258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49.985875136204037</v>
      </c>
      <c r="M2" s="8">
        <f>(H26*0.001*60)*(K2/100)*(G2/I2)</f>
        <v>2.7558141271698968</v>
      </c>
      <c r="O2" s="9">
        <f>100*((E26*C2)/((E26*C2)+(M2*E2)))</f>
        <v>13.432050248816157</v>
      </c>
      <c r="Q2" s="10">
        <f>100*J26*(1/(((C2/3.6)*E26)+((E2/3.6)*M2)))</f>
        <v>22.739757154884845</v>
      </c>
      <c r="S2" s="6">
        <v>3.54</v>
      </c>
      <c r="U2" s="10">
        <f>100*((((G26*0.001*60)*(C26-D26)*(S2/3.6)))/(((C2/3.6)*E26)+((E2/3.6)*M2)))</f>
        <v>163.77076261426234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512</v>
      </c>
      <c r="B6">
        <v>320.94299999999998</v>
      </c>
      <c r="C6">
        <v>100</v>
      </c>
      <c r="D6">
        <v>29.405000000000001</v>
      </c>
      <c r="E6">
        <v>0.45400000000000001</v>
      </c>
      <c r="F6">
        <v>82.31</v>
      </c>
      <c r="G6">
        <v>16.954999999999998</v>
      </c>
      <c r="H6">
        <v>128.37899999999999</v>
      </c>
      <c r="I6">
        <v>36.97</v>
      </c>
      <c r="J6">
        <v>10.053000000000001</v>
      </c>
      <c r="K6">
        <v>230.322</v>
      </c>
      <c r="L6">
        <v>14.587999999999999</v>
      </c>
      <c r="M6">
        <v>52.472999999999999</v>
      </c>
      <c r="N6">
        <v>14.396000000000001</v>
      </c>
      <c r="O6">
        <v>1.004</v>
      </c>
      <c r="P6">
        <v>3.0049999999999999</v>
      </c>
      <c r="Q6">
        <v>0</v>
      </c>
      <c r="R6">
        <v>61.889000000000003</v>
      </c>
      <c r="S6">
        <v>61.9</v>
      </c>
      <c r="T6">
        <v>20.5</v>
      </c>
    </row>
    <row r="7" spans="1:21" x14ac:dyDescent="0.3">
      <c r="A7" t="s">
        <v>513</v>
      </c>
      <c r="B7">
        <v>321.84199999999998</v>
      </c>
      <c r="C7">
        <v>100</v>
      </c>
      <c r="D7">
        <v>29.431000000000001</v>
      </c>
      <c r="E7">
        <v>0.43099999999999999</v>
      </c>
      <c r="F7">
        <v>82.296999999999997</v>
      </c>
      <c r="G7">
        <v>17.405999999999999</v>
      </c>
      <c r="H7">
        <v>128.75899999999999</v>
      </c>
      <c r="I7">
        <v>37.262</v>
      </c>
      <c r="J7">
        <v>10.042999999999999</v>
      </c>
      <c r="K7">
        <v>230.20699999999999</v>
      </c>
      <c r="L7">
        <v>14.574999999999999</v>
      </c>
      <c r="M7">
        <v>52.579000000000001</v>
      </c>
      <c r="N7">
        <v>14.395</v>
      </c>
      <c r="O7">
        <v>0.97499999999999998</v>
      </c>
      <c r="P7">
        <v>3.024</v>
      </c>
      <c r="Q7">
        <v>0</v>
      </c>
      <c r="R7">
        <v>61.936</v>
      </c>
      <c r="S7">
        <v>62.1</v>
      </c>
      <c r="T7">
        <v>20.5</v>
      </c>
    </row>
    <row r="8" spans="1:21" x14ac:dyDescent="0.3">
      <c r="A8" t="s">
        <v>514</v>
      </c>
      <c r="B8">
        <v>320.92500000000001</v>
      </c>
      <c r="C8">
        <v>100</v>
      </c>
      <c r="D8">
        <v>29.5</v>
      </c>
      <c r="E8">
        <v>0.40699999999999997</v>
      </c>
      <c r="F8">
        <v>82.116</v>
      </c>
      <c r="G8">
        <v>17.303000000000001</v>
      </c>
      <c r="H8">
        <v>128.69999999999999</v>
      </c>
      <c r="I8">
        <v>37.228999999999999</v>
      </c>
      <c r="J8">
        <v>10.055999999999999</v>
      </c>
      <c r="K8">
        <v>230.191</v>
      </c>
      <c r="L8">
        <v>14.590999999999999</v>
      </c>
      <c r="M8">
        <v>52.642000000000003</v>
      </c>
      <c r="N8">
        <v>14.398999999999999</v>
      </c>
      <c r="O8">
        <v>1.0009999999999999</v>
      </c>
      <c r="P8">
        <v>3.01</v>
      </c>
      <c r="Q8">
        <v>0</v>
      </c>
      <c r="R8">
        <v>62.121000000000002</v>
      </c>
      <c r="S8">
        <v>61.9</v>
      </c>
      <c r="T8">
        <v>20.5</v>
      </c>
    </row>
    <row r="9" spans="1:21" x14ac:dyDescent="0.3">
      <c r="A9" t="s">
        <v>515</v>
      </c>
      <c r="B9">
        <v>321.21100000000001</v>
      </c>
      <c r="C9">
        <v>100</v>
      </c>
      <c r="D9">
        <v>29.527000000000001</v>
      </c>
      <c r="E9">
        <v>0.41399999999999998</v>
      </c>
      <c r="F9">
        <v>82.093000000000004</v>
      </c>
      <c r="G9">
        <v>17.102</v>
      </c>
      <c r="H9">
        <v>128.614</v>
      </c>
      <c r="I9">
        <v>37.118000000000002</v>
      </c>
      <c r="J9">
        <v>10.042</v>
      </c>
      <c r="K9">
        <v>230.059</v>
      </c>
      <c r="L9">
        <v>14.571</v>
      </c>
      <c r="M9">
        <v>52.421999999999997</v>
      </c>
      <c r="N9">
        <v>14.398</v>
      </c>
      <c r="O9">
        <v>1.0009999999999999</v>
      </c>
      <c r="P9">
        <v>3.004</v>
      </c>
      <c r="Q9">
        <v>0</v>
      </c>
      <c r="R9">
        <v>62.054000000000002</v>
      </c>
      <c r="S9">
        <v>62</v>
      </c>
      <c r="T9">
        <v>20.5</v>
      </c>
    </row>
    <row r="10" spans="1:21" x14ac:dyDescent="0.3">
      <c r="A10" t="s">
        <v>516</v>
      </c>
      <c r="B10">
        <v>321.71800000000002</v>
      </c>
      <c r="C10">
        <v>100</v>
      </c>
      <c r="D10">
        <v>29.516999999999999</v>
      </c>
      <c r="E10">
        <v>0.44600000000000001</v>
      </c>
      <c r="F10">
        <v>82.149000000000001</v>
      </c>
      <c r="G10">
        <v>17.417999999999999</v>
      </c>
      <c r="H10">
        <v>128.114</v>
      </c>
      <c r="I10">
        <v>36.901000000000003</v>
      </c>
      <c r="J10">
        <v>10.051</v>
      </c>
      <c r="K10">
        <v>230.35499999999999</v>
      </c>
      <c r="L10">
        <v>14.583</v>
      </c>
      <c r="M10">
        <v>52.466999999999999</v>
      </c>
      <c r="N10">
        <v>14.353999999999999</v>
      </c>
      <c r="O10">
        <v>0.98299999999999998</v>
      </c>
      <c r="P10">
        <v>3.0169999999999999</v>
      </c>
      <c r="Q10">
        <v>0</v>
      </c>
      <c r="R10">
        <v>61.731000000000002</v>
      </c>
      <c r="S10">
        <v>62</v>
      </c>
      <c r="T10">
        <v>20.5</v>
      </c>
    </row>
    <row r="11" spans="1:21" x14ac:dyDescent="0.3">
      <c r="A11" t="s">
        <v>517</v>
      </c>
      <c r="B11">
        <v>321.00400000000002</v>
      </c>
      <c r="C11">
        <v>100</v>
      </c>
      <c r="D11">
        <v>29.53</v>
      </c>
      <c r="E11">
        <v>0.53400000000000003</v>
      </c>
      <c r="F11">
        <v>81.245999999999995</v>
      </c>
      <c r="G11">
        <v>17.411000000000001</v>
      </c>
      <c r="H11">
        <v>128.11600000000001</v>
      </c>
      <c r="I11">
        <v>37.188000000000002</v>
      </c>
      <c r="J11">
        <v>10.042</v>
      </c>
      <c r="K11">
        <v>230.10900000000001</v>
      </c>
      <c r="L11">
        <v>14.54</v>
      </c>
      <c r="M11">
        <v>52.502000000000002</v>
      </c>
      <c r="N11">
        <v>14.397</v>
      </c>
      <c r="O11">
        <v>0.98699999999999999</v>
      </c>
      <c r="P11">
        <v>3.0219999999999998</v>
      </c>
      <c r="Q11">
        <v>0</v>
      </c>
      <c r="R11">
        <v>61.634</v>
      </c>
      <c r="S11">
        <v>61.9</v>
      </c>
      <c r="T11">
        <v>20.5</v>
      </c>
    </row>
    <row r="12" spans="1:21" x14ac:dyDescent="0.3">
      <c r="A12" t="s">
        <v>518</v>
      </c>
      <c r="B12">
        <v>320.85700000000003</v>
      </c>
      <c r="C12">
        <v>100</v>
      </c>
      <c r="D12">
        <v>29.523</v>
      </c>
      <c r="E12">
        <v>0.61499999999999999</v>
      </c>
      <c r="F12">
        <v>81.849999999999994</v>
      </c>
      <c r="G12">
        <v>17.125</v>
      </c>
      <c r="H12">
        <v>128.125</v>
      </c>
      <c r="I12">
        <v>37.213000000000001</v>
      </c>
      <c r="J12">
        <v>10.055</v>
      </c>
      <c r="K12">
        <v>230.30600000000001</v>
      </c>
      <c r="L12">
        <v>14.519</v>
      </c>
      <c r="M12">
        <v>52.676000000000002</v>
      </c>
      <c r="N12">
        <v>14.403</v>
      </c>
      <c r="O12">
        <v>1.0029999999999999</v>
      </c>
      <c r="P12">
        <v>3.02</v>
      </c>
      <c r="Q12">
        <v>0</v>
      </c>
      <c r="R12">
        <v>61.642000000000003</v>
      </c>
      <c r="S12">
        <v>62</v>
      </c>
      <c r="T12">
        <v>20.5</v>
      </c>
    </row>
    <row r="13" spans="1:21" x14ac:dyDescent="0.3">
      <c r="A13" t="s">
        <v>519</v>
      </c>
      <c r="B13">
        <v>321.07799999999997</v>
      </c>
      <c r="C13">
        <v>100</v>
      </c>
      <c r="D13">
        <v>29.585999999999999</v>
      </c>
      <c r="E13">
        <v>0.54800000000000004</v>
      </c>
      <c r="F13">
        <v>82.296999999999997</v>
      </c>
      <c r="G13">
        <v>17.170999999999999</v>
      </c>
      <c r="H13">
        <v>128.33600000000001</v>
      </c>
      <c r="I13">
        <v>36.908999999999999</v>
      </c>
      <c r="J13">
        <v>10.042999999999999</v>
      </c>
      <c r="K13">
        <v>230.04300000000001</v>
      </c>
      <c r="L13">
        <v>14.497</v>
      </c>
      <c r="M13">
        <v>52.457000000000001</v>
      </c>
      <c r="N13">
        <v>14.396000000000001</v>
      </c>
      <c r="O13">
        <v>0.97199999999999998</v>
      </c>
      <c r="P13">
        <v>3.01</v>
      </c>
      <c r="Q13">
        <v>0</v>
      </c>
      <c r="R13">
        <v>61.683</v>
      </c>
      <c r="S13">
        <v>62</v>
      </c>
      <c r="T13">
        <v>20.5</v>
      </c>
    </row>
    <row r="14" spans="1:21" x14ac:dyDescent="0.3">
      <c r="A14" t="s">
        <v>520</v>
      </c>
      <c r="B14">
        <v>321.87900000000002</v>
      </c>
      <c r="C14">
        <v>100</v>
      </c>
      <c r="D14">
        <v>29.648</v>
      </c>
      <c r="E14">
        <v>0.56899999999999995</v>
      </c>
      <c r="F14">
        <v>82.197999999999993</v>
      </c>
      <c r="G14">
        <v>17.715</v>
      </c>
      <c r="H14">
        <v>128.52099999999999</v>
      </c>
      <c r="I14">
        <v>37.274000000000001</v>
      </c>
      <c r="J14">
        <v>10.285</v>
      </c>
      <c r="K14">
        <v>230.45400000000001</v>
      </c>
      <c r="L14">
        <v>15.135999999999999</v>
      </c>
      <c r="M14">
        <v>52.331000000000003</v>
      </c>
      <c r="N14">
        <v>14.864000000000001</v>
      </c>
      <c r="O14">
        <v>1</v>
      </c>
      <c r="P14">
        <v>3.0110000000000001</v>
      </c>
      <c r="Q14">
        <v>0</v>
      </c>
      <c r="R14">
        <v>61.774000000000001</v>
      </c>
      <c r="S14">
        <v>61.9</v>
      </c>
      <c r="T14">
        <v>20.5</v>
      </c>
    </row>
    <row r="15" spans="1:21" x14ac:dyDescent="0.3">
      <c r="A15" t="s">
        <v>521</v>
      </c>
      <c r="B15">
        <v>320.87099999999998</v>
      </c>
      <c r="C15">
        <v>100</v>
      </c>
      <c r="D15">
        <v>29.753</v>
      </c>
      <c r="E15">
        <v>0.59699999999999998</v>
      </c>
      <c r="F15">
        <v>82.441999999999993</v>
      </c>
      <c r="G15">
        <v>17.635999999999999</v>
      </c>
      <c r="H15">
        <v>128.65100000000001</v>
      </c>
      <c r="I15">
        <v>37.216999999999999</v>
      </c>
      <c r="J15">
        <v>10.044</v>
      </c>
      <c r="K15">
        <v>230.28899999999999</v>
      </c>
      <c r="L15">
        <v>14.706</v>
      </c>
      <c r="M15">
        <v>52.441000000000003</v>
      </c>
      <c r="N15">
        <v>14.398</v>
      </c>
      <c r="O15">
        <v>0.98</v>
      </c>
      <c r="P15">
        <v>3.0169999999999999</v>
      </c>
      <c r="Q15">
        <v>0</v>
      </c>
      <c r="R15">
        <v>61.924999999999997</v>
      </c>
      <c r="S15">
        <v>62</v>
      </c>
      <c r="T15">
        <v>20.5</v>
      </c>
    </row>
    <row r="16" spans="1:21" x14ac:dyDescent="0.3">
      <c r="A16" t="s">
        <v>522</v>
      </c>
      <c r="B16">
        <v>322.49099999999999</v>
      </c>
      <c r="C16">
        <v>100</v>
      </c>
      <c r="D16">
        <v>29.701000000000001</v>
      </c>
      <c r="E16">
        <v>0.51600000000000001</v>
      </c>
      <c r="F16">
        <v>81.896000000000001</v>
      </c>
      <c r="G16">
        <v>17.564</v>
      </c>
      <c r="H16">
        <v>128.71100000000001</v>
      </c>
      <c r="I16">
        <v>36.817999999999998</v>
      </c>
      <c r="J16">
        <v>10.048999999999999</v>
      </c>
      <c r="K16">
        <v>230.22399999999999</v>
      </c>
      <c r="L16">
        <v>14.683999999999999</v>
      </c>
      <c r="M16">
        <v>52.514000000000003</v>
      </c>
      <c r="N16">
        <v>14.404999999999999</v>
      </c>
      <c r="O16">
        <v>0.99099999999999999</v>
      </c>
      <c r="P16">
        <v>3.008</v>
      </c>
      <c r="Q16">
        <v>0</v>
      </c>
      <c r="R16">
        <v>62.051000000000002</v>
      </c>
      <c r="S16">
        <v>62</v>
      </c>
      <c r="T16">
        <v>20.5</v>
      </c>
    </row>
    <row r="17" spans="1:20" x14ac:dyDescent="0.3">
      <c r="A17" t="s">
        <v>523</v>
      </c>
      <c r="B17">
        <v>321.41300000000001</v>
      </c>
      <c r="C17">
        <v>100</v>
      </c>
      <c r="D17">
        <v>29.716999999999999</v>
      </c>
      <c r="E17">
        <v>0.433</v>
      </c>
      <c r="F17">
        <v>82.143000000000001</v>
      </c>
      <c r="G17">
        <v>17.303999999999998</v>
      </c>
      <c r="H17">
        <v>128.86000000000001</v>
      </c>
      <c r="I17">
        <v>34.497999999999998</v>
      </c>
      <c r="J17">
        <v>10.06</v>
      </c>
      <c r="K17">
        <v>230.42099999999999</v>
      </c>
      <c r="L17">
        <v>14.662000000000001</v>
      </c>
      <c r="M17">
        <v>52.606999999999999</v>
      </c>
      <c r="N17">
        <v>14.401999999999999</v>
      </c>
      <c r="O17">
        <v>1.006</v>
      </c>
      <c r="P17">
        <v>3.04</v>
      </c>
      <c r="Q17">
        <v>0</v>
      </c>
      <c r="R17">
        <v>62.188000000000002</v>
      </c>
      <c r="S17">
        <v>61.8</v>
      </c>
      <c r="T17">
        <v>20.5</v>
      </c>
    </row>
    <row r="18" spans="1:20" x14ac:dyDescent="0.3">
      <c r="A18" t="s">
        <v>524</v>
      </c>
      <c r="B18">
        <v>321.67700000000002</v>
      </c>
      <c r="C18">
        <v>100</v>
      </c>
      <c r="D18">
        <v>29.77</v>
      </c>
      <c r="E18">
        <v>0.40799999999999997</v>
      </c>
      <c r="F18">
        <v>82.534000000000006</v>
      </c>
      <c r="G18">
        <v>17.382999999999999</v>
      </c>
      <c r="H18">
        <v>128.88</v>
      </c>
      <c r="I18">
        <v>37.200000000000003</v>
      </c>
      <c r="J18">
        <v>10.045</v>
      </c>
      <c r="K18">
        <v>230.10900000000001</v>
      </c>
      <c r="L18">
        <v>14.667999999999999</v>
      </c>
      <c r="M18">
        <v>52.526000000000003</v>
      </c>
      <c r="N18">
        <v>14.398999999999999</v>
      </c>
      <c r="O18">
        <v>0.98799999999999999</v>
      </c>
      <c r="P18">
        <v>2.9980000000000002</v>
      </c>
      <c r="Q18">
        <v>0</v>
      </c>
      <c r="R18">
        <v>62.374000000000002</v>
      </c>
      <c r="S18">
        <v>61.9</v>
      </c>
      <c r="T18">
        <v>20.5</v>
      </c>
    </row>
    <row r="19" spans="1:20" x14ac:dyDescent="0.3">
      <c r="A19" t="s">
        <v>525</v>
      </c>
      <c r="B19">
        <v>321.78899999999999</v>
      </c>
      <c r="C19">
        <v>100</v>
      </c>
      <c r="D19">
        <v>29.757000000000001</v>
      </c>
      <c r="E19">
        <v>0.41</v>
      </c>
      <c r="F19">
        <v>82.596000000000004</v>
      </c>
      <c r="G19">
        <v>17.625</v>
      </c>
      <c r="H19">
        <v>128.64500000000001</v>
      </c>
      <c r="I19">
        <v>37.069000000000003</v>
      </c>
      <c r="J19">
        <v>10.044</v>
      </c>
      <c r="K19">
        <v>230.125</v>
      </c>
      <c r="L19">
        <v>14.510999999999999</v>
      </c>
      <c r="M19">
        <v>52.493000000000002</v>
      </c>
      <c r="N19">
        <v>14.403</v>
      </c>
      <c r="O19">
        <v>0.98699999999999999</v>
      </c>
      <c r="P19">
        <v>3.0030000000000001</v>
      </c>
      <c r="Q19">
        <v>0</v>
      </c>
      <c r="R19">
        <v>62.222000000000001</v>
      </c>
      <c r="S19">
        <v>62</v>
      </c>
      <c r="T19">
        <v>20.5</v>
      </c>
    </row>
    <row r="20" spans="1:20" x14ac:dyDescent="0.3">
      <c r="A20" t="s">
        <v>526</v>
      </c>
      <c r="B20">
        <v>321.28500000000003</v>
      </c>
      <c r="C20">
        <v>100</v>
      </c>
      <c r="D20">
        <v>29.832000000000001</v>
      </c>
      <c r="E20">
        <v>0.45300000000000001</v>
      </c>
      <c r="F20">
        <v>82.028000000000006</v>
      </c>
      <c r="G20">
        <v>17.437999999999999</v>
      </c>
      <c r="H20">
        <v>128.25800000000001</v>
      </c>
      <c r="I20">
        <v>36.781999999999996</v>
      </c>
      <c r="J20">
        <v>10.052</v>
      </c>
      <c r="K20">
        <v>230.25700000000001</v>
      </c>
      <c r="L20">
        <v>14.444000000000001</v>
      </c>
      <c r="M20">
        <v>52.404000000000003</v>
      </c>
      <c r="N20">
        <v>14.401</v>
      </c>
      <c r="O20">
        <v>0.999</v>
      </c>
      <c r="P20">
        <v>3.0139999999999998</v>
      </c>
      <c r="Q20">
        <v>0</v>
      </c>
      <c r="R20">
        <v>61.88</v>
      </c>
      <c r="S20">
        <v>61.8</v>
      </c>
      <c r="T20">
        <v>20.5</v>
      </c>
    </row>
    <row r="21" spans="1:20" x14ac:dyDescent="0.3">
      <c r="A21" t="s">
        <v>527</v>
      </c>
      <c r="B21">
        <v>322.24900000000002</v>
      </c>
      <c r="C21">
        <v>100</v>
      </c>
      <c r="D21">
        <v>29.917999999999999</v>
      </c>
      <c r="E21">
        <v>0.57299999999999995</v>
      </c>
      <c r="F21">
        <v>81.215999999999994</v>
      </c>
      <c r="G21">
        <v>18.015999999999998</v>
      </c>
      <c r="H21">
        <v>128.602</v>
      </c>
      <c r="I21">
        <v>37.951999999999998</v>
      </c>
      <c r="J21">
        <v>10.048</v>
      </c>
      <c r="K21">
        <v>230.404</v>
      </c>
      <c r="L21">
        <v>14.589</v>
      </c>
      <c r="M21">
        <v>52.415999999999997</v>
      </c>
      <c r="N21">
        <v>14.398999999999999</v>
      </c>
      <c r="O21">
        <v>1.0089999999999999</v>
      </c>
      <c r="P21">
        <v>3.016</v>
      </c>
      <c r="Q21">
        <v>0</v>
      </c>
      <c r="R21">
        <v>61.86</v>
      </c>
      <c r="S21">
        <v>61.9</v>
      </c>
      <c r="T21">
        <v>20.5</v>
      </c>
    </row>
    <row r="22" spans="1:20" x14ac:dyDescent="0.3">
      <c r="A22" t="s">
        <v>528</v>
      </c>
      <c r="B22">
        <v>322.51</v>
      </c>
      <c r="C22">
        <v>100</v>
      </c>
      <c r="D22">
        <v>30.023</v>
      </c>
      <c r="E22">
        <v>0.60799999999999998</v>
      </c>
      <c r="F22">
        <v>80.72</v>
      </c>
      <c r="G22">
        <v>17.739999999999998</v>
      </c>
      <c r="H22">
        <v>130.565</v>
      </c>
      <c r="I22">
        <v>37.277999999999999</v>
      </c>
      <c r="J22">
        <v>10.044</v>
      </c>
      <c r="K22">
        <v>230.125</v>
      </c>
      <c r="L22">
        <v>14.576000000000001</v>
      </c>
      <c r="M22">
        <v>52.469000000000001</v>
      </c>
      <c r="N22">
        <v>14.391999999999999</v>
      </c>
      <c r="O22">
        <v>0.99099999999999999</v>
      </c>
      <c r="P22">
        <v>3.012</v>
      </c>
      <c r="Q22">
        <v>0</v>
      </c>
      <c r="R22">
        <v>61.918999999999997</v>
      </c>
      <c r="S22">
        <v>61.9</v>
      </c>
      <c r="T22">
        <v>20.5</v>
      </c>
    </row>
    <row r="23" spans="1:20" x14ac:dyDescent="0.3">
      <c r="A23" t="s">
        <v>529</v>
      </c>
      <c r="B23">
        <v>322.22199999999998</v>
      </c>
      <c r="C23">
        <v>100</v>
      </c>
      <c r="D23">
        <v>30.088000000000001</v>
      </c>
      <c r="E23">
        <v>0.60499999999999998</v>
      </c>
      <c r="F23">
        <v>81.745000000000005</v>
      </c>
      <c r="G23">
        <v>17.199000000000002</v>
      </c>
      <c r="H23">
        <v>128.50800000000001</v>
      </c>
      <c r="I23">
        <v>36.887999999999998</v>
      </c>
      <c r="J23">
        <v>10.051</v>
      </c>
      <c r="K23">
        <v>230.47</v>
      </c>
      <c r="L23">
        <v>14.595000000000001</v>
      </c>
      <c r="M23">
        <v>52.515999999999998</v>
      </c>
      <c r="N23">
        <v>14.398</v>
      </c>
      <c r="O23">
        <v>0.98199999999999998</v>
      </c>
      <c r="P23">
        <v>3.0259999999999998</v>
      </c>
      <c r="Q23">
        <v>0</v>
      </c>
      <c r="R23">
        <v>62.021000000000001</v>
      </c>
      <c r="S23">
        <v>61.9</v>
      </c>
      <c r="T23">
        <v>20.5</v>
      </c>
    </row>
    <row r="24" spans="1:20" x14ac:dyDescent="0.3">
      <c r="A24" t="s">
        <v>530</v>
      </c>
      <c r="B24">
        <v>321.67500000000001</v>
      </c>
      <c r="C24">
        <v>100</v>
      </c>
      <c r="D24">
        <v>29.667999999999999</v>
      </c>
      <c r="E24">
        <v>0.55300000000000005</v>
      </c>
      <c r="F24">
        <v>82.332999999999998</v>
      </c>
      <c r="G24">
        <v>17.651</v>
      </c>
      <c r="H24">
        <v>128.75700000000001</v>
      </c>
      <c r="I24">
        <v>37.200000000000003</v>
      </c>
      <c r="J24">
        <v>10.042999999999999</v>
      </c>
      <c r="K24">
        <v>230.059</v>
      </c>
      <c r="L24">
        <v>14.569000000000001</v>
      </c>
      <c r="M24">
        <v>52.404000000000003</v>
      </c>
      <c r="N24">
        <v>14.398999999999999</v>
      </c>
      <c r="O24">
        <v>0.98899999999999999</v>
      </c>
      <c r="P24">
        <v>3.016</v>
      </c>
      <c r="Q24">
        <v>0</v>
      </c>
      <c r="R24">
        <v>62.082999999999998</v>
      </c>
      <c r="S24">
        <v>62</v>
      </c>
      <c r="T24">
        <v>20.5</v>
      </c>
    </row>
    <row r="25" spans="1:20" ht="15" thickBot="1" x14ac:dyDescent="0.35">
      <c r="A25" t="s">
        <v>531</v>
      </c>
      <c r="B25">
        <v>321.79500000000002</v>
      </c>
      <c r="C25">
        <v>100</v>
      </c>
      <c r="D25">
        <v>29.693999999999999</v>
      </c>
      <c r="E25">
        <v>0.44600000000000001</v>
      </c>
      <c r="F25">
        <v>81.965000000000003</v>
      </c>
      <c r="G25">
        <v>18.100999999999999</v>
      </c>
      <c r="H25">
        <v>128.71899999999999</v>
      </c>
      <c r="I25">
        <v>37.052999999999997</v>
      </c>
      <c r="J25">
        <v>10.054</v>
      </c>
      <c r="K25">
        <v>230.51900000000001</v>
      </c>
      <c r="L25">
        <v>14.599</v>
      </c>
      <c r="M25">
        <v>52.593000000000004</v>
      </c>
      <c r="N25">
        <v>14.398999999999999</v>
      </c>
      <c r="O25">
        <v>1.008</v>
      </c>
      <c r="P25">
        <v>3.03</v>
      </c>
      <c r="Q25">
        <v>0</v>
      </c>
      <c r="R25">
        <v>62.313000000000002</v>
      </c>
      <c r="S25">
        <v>61.7</v>
      </c>
      <c r="T25">
        <v>20.5</v>
      </c>
    </row>
    <row r="26" spans="1:20" ht="15" thickBot="1" x14ac:dyDescent="0.35">
      <c r="A26" t="s">
        <v>0</v>
      </c>
      <c r="B26" s="1">
        <f t="shared" ref="B26:S26" si="0">AVERAGE(B6:B25)</f>
        <v>321.57169999999996</v>
      </c>
      <c r="C26" s="1">
        <f t="shared" si="0"/>
        <v>100</v>
      </c>
      <c r="D26" s="1">
        <f t="shared" si="0"/>
        <v>29.679399999999998</v>
      </c>
      <c r="E26" s="10">
        <f t="shared" si="0"/>
        <v>0.50100000000000011</v>
      </c>
      <c r="F26" s="1">
        <f t="shared" si="0"/>
        <v>82.008700000000005</v>
      </c>
      <c r="G26" s="1">
        <f t="shared" si="0"/>
        <v>17.463150000000002</v>
      </c>
      <c r="H26" s="10">
        <f t="shared" si="0"/>
        <v>128.64100000000002</v>
      </c>
      <c r="I26" s="1">
        <f t="shared" si="0"/>
        <v>37.000950000000003</v>
      </c>
      <c r="J26" s="8">
        <f t="shared" si="0"/>
        <v>10.0602</v>
      </c>
      <c r="K26" s="1">
        <f t="shared" si="0"/>
        <v>230.25240000000002</v>
      </c>
      <c r="L26" s="1">
        <f t="shared" si="0"/>
        <v>14.610150000000001</v>
      </c>
      <c r="M26" s="1">
        <f t="shared" si="0"/>
        <v>52.496600000000001</v>
      </c>
      <c r="N26" s="1">
        <f t="shared" si="0"/>
        <v>14.41985</v>
      </c>
      <c r="O26" s="1">
        <f t="shared" si="0"/>
        <v>0.99280000000000013</v>
      </c>
      <c r="P26" s="1">
        <f t="shared" si="0"/>
        <v>3.0151499999999993</v>
      </c>
      <c r="Q26" s="1">
        <f t="shared" si="0"/>
        <v>0</v>
      </c>
      <c r="R26" s="1">
        <f t="shared" si="0"/>
        <v>61.965000000000011</v>
      </c>
      <c r="S26" s="1">
        <f t="shared" si="0"/>
        <v>61.929999999999993</v>
      </c>
      <c r="T26" s="8">
        <f>AVERAGE(T6:T25)</f>
        <v>20.5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2.0223499999999994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4CF7-3036-4E59-BA10-4578EBE4CA55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38" sqref="O38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0.46431712962962962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49.739885966608533</v>
      </c>
      <c r="M2" s="8">
        <f>(H26*0.001*60)*(K2/100)*(G2/I2)</f>
        <v>2.9543957433398509</v>
      </c>
      <c r="O2" s="9">
        <f>100*((E26*C2)/((E26*C2)+(M2*E2)))</f>
        <v>14.143787508731668</v>
      </c>
      <c r="Q2" s="10">
        <f>100*J26*(1/(((C2/3.6)*E26)+((E2/3.6)*M2)))</f>
        <v>24.614666093090118</v>
      </c>
      <c r="S2" s="6">
        <v>3.54</v>
      </c>
      <c r="U2" s="10">
        <f>100*((((G26*0.001*60)*(C26-D26)*(S2/3.6)))/(((C2/3.6)*E26)+((E2/3.6)*M2)))</f>
        <v>146.75652870580649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532</v>
      </c>
      <c r="B6">
        <v>352.61500000000001</v>
      </c>
      <c r="C6">
        <v>100</v>
      </c>
      <c r="D6">
        <v>39.944000000000003</v>
      </c>
      <c r="E6">
        <v>0.64200000000000002</v>
      </c>
      <c r="F6">
        <v>82.369</v>
      </c>
      <c r="G6">
        <v>18.702000000000002</v>
      </c>
      <c r="H6">
        <v>138.28700000000001</v>
      </c>
      <c r="I6">
        <v>38.591999999999999</v>
      </c>
      <c r="J6">
        <v>11.772</v>
      </c>
      <c r="K6">
        <v>230.24</v>
      </c>
      <c r="L6">
        <v>17.163</v>
      </c>
      <c r="M6">
        <v>52.405999999999999</v>
      </c>
      <c r="N6">
        <v>16.937000000000001</v>
      </c>
      <c r="O6">
        <v>1.0209999999999999</v>
      </c>
      <c r="P6">
        <v>2.89</v>
      </c>
      <c r="Q6">
        <v>0</v>
      </c>
      <c r="R6">
        <v>66.83</v>
      </c>
      <c r="S6">
        <v>66.2</v>
      </c>
      <c r="T6">
        <v>24.7</v>
      </c>
    </row>
    <row r="7" spans="1:21" x14ac:dyDescent="0.3">
      <c r="A7" t="s">
        <v>533</v>
      </c>
      <c r="B7">
        <v>353.12599999999998</v>
      </c>
      <c r="C7">
        <v>100</v>
      </c>
      <c r="D7">
        <v>40.072000000000003</v>
      </c>
      <c r="E7">
        <v>0.55300000000000005</v>
      </c>
      <c r="F7">
        <v>81.563999999999993</v>
      </c>
      <c r="G7">
        <v>18.864999999999998</v>
      </c>
      <c r="H7">
        <v>138.929</v>
      </c>
      <c r="I7">
        <v>38.868000000000002</v>
      </c>
      <c r="J7">
        <v>11.773</v>
      </c>
      <c r="K7">
        <v>230.56899999999999</v>
      </c>
      <c r="L7">
        <v>17.184999999999999</v>
      </c>
      <c r="M7">
        <v>52.472999999999999</v>
      </c>
      <c r="N7">
        <v>16.927</v>
      </c>
      <c r="O7">
        <v>1.0129999999999999</v>
      </c>
      <c r="P7">
        <v>2.8919999999999999</v>
      </c>
      <c r="Q7">
        <v>0</v>
      </c>
      <c r="R7">
        <v>67.242999999999995</v>
      </c>
      <c r="S7">
        <v>66.3</v>
      </c>
      <c r="T7">
        <v>24.7</v>
      </c>
    </row>
    <row r="8" spans="1:21" x14ac:dyDescent="0.3">
      <c r="A8" t="s">
        <v>534</v>
      </c>
      <c r="B8">
        <v>352.87900000000002</v>
      </c>
      <c r="C8">
        <v>100</v>
      </c>
      <c r="D8">
        <v>39.984000000000002</v>
      </c>
      <c r="E8">
        <v>0.498</v>
      </c>
      <c r="F8">
        <v>81.742000000000004</v>
      </c>
      <c r="G8">
        <v>19.113</v>
      </c>
      <c r="H8">
        <v>138.922</v>
      </c>
      <c r="I8">
        <v>38.661999999999999</v>
      </c>
      <c r="J8">
        <v>11.778</v>
      </c>
      <c r="K8">
        <v>230.37200000000001</v>
      </c>
      <c r="L8">
        <v>16.952000000000002</v>
      </c>
      <c r="M8">
        <v>52.347000000000001</v>
      </c>
      <c r="N8">
        <v>16.936</v>
      </c>
      <c r="O8">
        <v>0.98799999999999999</v>
      </c>
      <c r="P8">
        <v>2.9079999999999999</v>
      </c>
      <c r="Q8">
        <v>0</v>
      </c>
      <c r="R8">
        <v>67.27</v>
      </c>
      <c r="S8">
        <v>66.099999999999994</v>
      </c>
      <c r="T8">
        <v>24.7</v>
      </c>
    </row>
    <row r="9" spans="1:21" x14ac:dyDescent="0.3">
      <c r="A9" t="s">
        <v>535</v>
      </c>
      <c r="B9">
        <v>353.06799999999998</v>
      </c>
      <c r="C9">
        <v>100</v>
      </c>
      <c r="D9">
        <v>40.058999999999997</v>
      </c>
      <c r="E9">
        <v>0.625</v>
      </c>
      <c r="F9">
        <v>82.524000000000001</v>
      </c>
      <c r="G9">
        <v>19.074000000000002</v>
      </c>
      <c r="H9">
        <v>138.76499999999999</v>
      </c>
      <c r="I9">
        <v>38.646000000000001</v>
      </c>
      <c r="J9">
        <v>11.768000000000001</v>
      </c>
      <c r="K9">
        <v>230.339</v>
      </c>
      <c r="L9">
        <v>16.937999999999999</v>
      </c>
      <c r="M9">
        <v>52.323</v>
      </c>
      <c r="N9">
        <v>16.937999999999999</v>
      </c>
      <c r="O9">
        <v>1.0109999999999999</v>
      </c>
      <c r="P9">
        <v>2.9140000000000001</v>
      </c>
      <c r="Q9">
        <v>0</v>
      </c>
      <c r="R9">
        <v>66.98</v>
      </c>
      <c r="S9">
        <v>66.2</v>
      </c>
      <c r="T9">
        <v>24.7</v>
      </c>
    </row>
    <row r="10" spans="1:21" x14ac:dyDescent="0.3">
      <c r="A10" t="s">
        <v>536</v>
      </c>
      <c r="B10">
        <v>353.49</v>
      </c>
      <c r="C10">
        <v>100</v>
      </c>
      <c r="D10">
        <v>40.253</v>
      </c>
      <c r="E10">
        <v>0.51200000000000001</v>
      </c>
      <c r="F10">
        <v>82.703999999999994</v>
      </c>
      <c r="G10">
        <v>19.308</v>
      </c>
      <c r="H10">
        <v>138.334</v>
      </c>
      <c r="I10">
        <v>38.744</v>
      </c>
      <c r="J10">
        <v>11.77</v>
      </c>
      <c r="K10">
        <v>230.22399999999999</v>
      </c>
      <c r="L10">
        <v>17.161000000000001</v>
      </c>
      <c r="M10">
        <v>52.28</v>
      </c>
      <c r="N10">
        <v>16.943999999999999</v>
      </c>
      <c r="O10">
        <v>0.997</v>
      </c>
      <c r="P10">
        <v>2.8879999999999999</v>
      </c>
      <c r="Q10">
        <v>0</v>
      </c>
      <c r="R10">
        <v>66.664000000000001</v>
      </c>
      <c r="S10">
        <v>66.2</v>
      </c>
      <c r="T10">
        <v>24.7</v>
      </c>
    </row>
    <row r="11" spans="1:21" x14ac:dyDescent="0.3">
      <c r="A11" t="s">
        <v>537</v>
      </c>
      <c r="B11">
        <v>354.01400000000001</v>
      </c>
      <c r="C11">
        <v>100</v>
      </c>
      <c r="D11">
        <v>40.328000000000003</v>
      </c>
      <c r="E11">
        <v>0.627</v>
      </c>
      <c r="F11">
        <v>82.710999999999999</v>
      </c>
      <c r="G11">
        <v>19.597999999999999</v>
      </c>
      <c r="H11">
        <v>138.529</v>
      </c>
      <c r="I11">
        <v>38.707000000000001</v>
      </c>
      <c r="J11">
        <v>11.769</v>
      </c>
      <c r="K11">
        <v>230.30600000000001</v>
      </c>
      <c r="L11">
        <v>16.945</v>
      </c>
      <c r="M11">
        <v>52.353000000000002</v>
      </c>
      <c r="N11">
        <v>16.940000000000001</v>
      </c>
      <c r="O11">
        <v>1.0069999999999999</v>
      </c>
      <c r="P11">
        <v>2.9020000000000001</v>
      </c>
      <c r="Q11">
        <v>0</v>
      </c>
      <c r="R11">
        <v>66.822999999999993</v>
      </c>
      <c r="S11">
        <v>66.099999999999994</v>
      </c>
      <c r="T11">
        <v>24.7</v>
      </c>
    </row>
    <row r="12" spans="1:21" x14ac:dyDescent="0.3">
      <c r="A12" t="s">
        <v>538</v>
      </c>
      <c r="B12">
        <v>353.84899999999999</v>
      </c>
      <c r="C12">
        <v>100</v>
      </c>
      <c r="D12">
        <v>40.436999999999998</v>
      </c>
      <c r="E12">
        <v>0.54400000000000004</v>
      </c>
      <c r="F12">
        <v>81.688999999999993</v>
      </c>
      <c r="G12">
        <v>19.516999999999999</v>
      </c>
      <c r="H12">
        <v>138.636</v>
      </c>
      <c r="I12">
        <v>38.481999999999999</v>
      </c>
      <c r="J12">
        <v>11.77</v>
      </c>
      <c r="K12">
        <v>229.649</v>
      </c>
      <c r="L12">
        <v>17.138999999999999</v>
      </c>
      <c r="M12">
        <v>52.441000000000003</v>
      </c>
      <c r="N12">
        <v>16.940000000000001</v>
      </c>
      <c r="O12">
        <v>1.0029999999999999</v>
      </c>
      <c r="P12">
        <v>2.907</v>
      </c>
      <c r="Q12">
        <v>0</v>
      </c>
      <c r="R12">
        <v>67.203000000000003</v>
      </c>
      <c r="S12">
        <v>66.2</v>
      </c>
      <c r="T12">
        <v>24.7</v>
      </c>
    </row>
    <row r="13" spans="1:21" x14ac:dyDescent="0.3">
      <c r="A13" t="s">
        <v>539</v>
      </c>
      <c r="B13">
        <v>353.46499999999997</v>
      </c>
      <c r="C13">
        <v>100</v>
      </c>
      <c r="D13">
        <v>40.610999999999997</v>
      </c>
      <c r="E13">
        <v>0.51200000000000001</v>
      </c>
      <c r="F13">
        <v>81.44</v>
      </c>
      <c r="G13">
        <v>19.829000000000001</v>
      </c>
      <c r="H13">
        <v>138.82400000000001</v>
      </c>
      <c r="I13">
        <v>38.683</v>
      </c>
      <c r="J13">
        <v>11.77</v>
      </c>
      <c r="K13">
        <v>230.30600000000001</v>
      </c>
      <c r="L13">
        <v>16.966000000000001</v>
      </c>
      <c r="M13">
        <v>52.392000000000003</v>
      </c>
      <c r="N13">
        <v>16.914000000000001</v>
      </c>
      <c r="O13">
        <v>1.0149999999999999</v>
      </c>
      <c r="P13">
        <v>2.8940000000000001</v>
      </c>
      <c r="Q13">
        <v>0</v>
      </c>
      <c r="R13">
        <v>67.176000000000002</v>
      </c>
      <c r="S13">
        <v>66.2</v>
      </c>
      <c r="T13">
        <v>24.7</v>
      </c>
    </row>
    <row r="14" spans="1:21" x14ac:dyDescent="0.3">
      <c r="A14" t="s">
        <v>540</v>
      </c>
      <c r="B14">
        <v>353.47199999999998</v>
      </c>
      <c r="C14">
        <v>100</v>
      </c>
      <c r="D14">
        <v>40.771999999999998</v>
      </c>
      <c r="E14">
        <v>0.64700000000000002</v>
      </c>
      <c r="F14">
        <v>82.138999999999996</v>
      </c>
      <c r="G14">
        <v>19.936</v>
      </c>
      <c r="H14">
        <v>138.613</v>
      </c>
      <c r="I14">
        <v>38.761000000000003</v>
      </c>
      <c r="J14">
        <v>11.769</v>
      </c>
      <c r="K14">
        <v>230.125</v>
      </c>
      <c r="L14">
        <v>17.132999999999999</v>
      </c>
      <c r="M14">
        <v>52.332999999999998</v>
      </c>
      <c r="N14">
        <v>16.943000000000001</v>
      </c>
      <c r="O14">
        <v>1.0209999999999999</v>
      </c>
      <c r="P14">
        <v>2.9009999999999998</v>
      </c>
      <c r="Q14">
        <v>0</v>
      </c>
      <c r="R14">
        <v>66.754999999999995</v>
      </c>
      <c r="S14">
        <v>66.3</v>
      </c>
      <c r="T14">
        <v>24.7</v>
      </c>
    </row>
    <row r="15" spans="1:21" x14ac:dyDescent="0.3">
      <c r="A15" t="s">
        <v>541</v>
      </c>
      <c r="B15">
        <v>353.29599999999999</v>
      </c>
      <c r="C15">
        <v>100</v>
      </c>
      <c r="D15">
        <v>40.784999999999997</v>
      </c>
      <c r="E15">
        <v>0.53800000000000003</v>
      </c>
      <c r="F15">
        <v>83.370999999999995</v>
      </c>
      <c r="G15">
        <v>20.199000000000002</v>
      </c>
      <c r="H15">
        <v>138.321</v>
      </c>
      <c r="I15">
        <v>38.390999999999998</v>
      </c>
      <c r="J15">
        <v>11.77</v>
      </c>
      <c r="K15">
        <v>230.38800000000001</v>
      </c>
      <c r="L15">
        <v>16.981999999999999</v>
      </c>
      <c r="M15">
        <v>52.271999999999998</v>
      </c>
      <c r="N15">
        <v>16.931000000000001</v>
      </c>
      <c r="O15">
        <v>1.0009999999999999</v>
      </c>
      <c r="P15">
        <v>2.8849999999999998</v>
      </c>
      <c r="Q15">
        <v>0</v>
      </c>
      <c r="R15">
        <v>66.594999999999999</v>
      </c>
      <c r="S15">
        <v>66.3</v>
      </c>
      <c r="T15">
        <v>24.7</v>
      </c>
    </row>
    <row r="16" spans="1:21" x14ac:dyDescent="0.3">
      <c r="A16" t="s">
        <v>542</v>
      </c>
      <c r="B16">
        <v>353.53199999999998</v>
      </c>
      <c r="C16">
        <v>100</v>
      </c>
      <c r="D16">
        <v>40.805</v>
      </c>
      <c r="E16">
        <v>0.61299999999999999</v>
      </c>
      <c r="F16">
        <v>82.75</v>
      </c>
      <c r="G16">
        <v>20.434999999999999</v>
      </c>
      <c r="H16">
        <v>138.52199999999999</v>
      </c>
      <c r="I16">
        <v>38.51</v>
      </c>
      <c r="J16">
        <v>11.772</v>
      </c>
      <c r="K16">
        <v>230.15799999999999</v>
      </c>
      <c r="L16">
        <v>16.988</v>
      </c>
      <c r="M16">
        <v>52.372</v>
      </c>
      <c r="N16">
        <v>16.940999999999999</v>
      </c>
      <c r="O16">
        <v>1.01</v>
      </c>
      <c r="P16">
        <v>2.9119999999999999</v>
      </c>
      <c r="Q16">
        <v>0</v>
      </c>
      <c r="R16">
        <v>66.742000000000004</v>
      </c>
      <c r="S16">
        <v>66.3</v>
      </c>
      <c r="T16">
        <v>24.7</v>
      </c>
    </row>
    <row r="17" spans="1:20" x14ac:dyDescent="0.3">
      <c r="A17" t="s">
        <v>543</v>
      </c>
      <c r="B17">
        <v>354.45800000000003</v>
      </c>
      <c r="C17">
        <v>100</v>
      </c>
      <c r="D17">
        <v>40.917000000000002</v>
      </c>
      <c r="E17">
        <v>0.495</v>
      </c>
      <c r="F17">
        <v>81.885999999999996</v>
      </c>
      <c r="G17">
        <v>20.216999999999999</v>
      </c>
      <c r="H17">
        <v>138.607</v>
      </c>
      <c r="I17">
        <v>38.591999999999999</v>
      </c>
      <c r="J17">
        <v>11.766</v>
      </c>
      <c r="K17">
        <v>230.404</v>
      </c>
      <c r="L17">
        <v>16.995000000000001</v>
      </c>
      <c r="M17">
        <v>52.331000000000003</v>
      </c>
      <c r="N17">
        <v>16.928999999999998</v>
      </c>
      <c r="O17">
        <v>1.002</v>
      </c>
      <c r="P17">
        <v>2.9239999999999999</v>
      </c>
      <c r="Q17">
        <v>0</v>
      </c>
      <c r="R17">
        <v>66.936999999999998</v>
      </c>
      <c r="S17">
        <v>66.2</v>
      </c>
      <c r="T17">
        <v>24.7</v>
      </c>
    </row>
    <row r="18" spans="1:20" x14ac:dyDescent="0.3">
      <c r="A18" t="s">
        <v>544</v>
      </c>
      <c r="B18">
        <v>354.78300000000002</v>
      </c>
      <c r="C18">
        <v>100</v>
      </c>
      <c r="D18">
        <v>41.005000000000003</v>
      </c>
      <c r="E18">
        <v>0.51500000000000001</v>
      </c>
      <c r="F18">
        <v>82.819000000000003</v>
      </c>
      <c r="G18">
        <v>20.100000000000001</v>
      </c>
      <c r="H18">
        <v>138.66800000000001</v>
      </c>
      <c r="I18">
        <v>38.238999999999997</v>
      </c>
      <c r="J18">
        <v>11.768000000000001</v>
      </c>
      <c r="K18">
        <v>230.17400000000001</v>
      </c>
      <c r="L18">
        <v>16.992999999999999</v>
      </c>
      <c r="M18">
        <v>52.354999999999997</v>
      </c>
      <c r="N18">
        <v>16.934999999999999</v>
      </c>
      <c r="O18">
        <v>1.0109999999999999</v>
      </c>
      <c r="P18">
        <v>2.9049999999999998</v>
      </c>
      <c r="Q18">
        <v>0</v>
      </c>
      <c r="R18">
        <v>67.197000000000003</v>
      </c>
      <c r="S18">
        <v>66.2</v>
      </c>
      <c r="T18">
        <v>24.7</v>
      </c>
    </row>
    <row r="19" spans="1:20" x14ac:dyDescent="0.3">
      <c r="A19" t="s">
        <v>545</v>
      </c>
      <c r="B19">
        <v>354.86200000000002</v>
      </c>
      <c r="C19">
        <v>100</v>
      </c>
      <c r="D19">
        <v>41.16</v>
      </c>
      <c r="E19">
        <v>0.63800000000000001</v>
      </c>
      <c r="F19">
        <v>81.938999999999993</v>
      </c>
      <c r="G19">
        <v>20.875</v>
      </c>
      <c r="H19">
        <v>138.87200000000001</v>
      </c>
      <c r="I19">
        <v>38.198</v>
      </c>
      <c r="J19">
        <v>11.77</v>
      </c>
      <c r="K19">
        <v>230.55199999999999</v>
      </c>
      <c r="L19">
        <v>17.138000000000002</v>
      </c>
      <c r="M19">
        <v>52.42</v>
      </c>
      <c r="N19">
        <v>16.933</v>
      </c>
      <c r="O19">
        <v>1.0129999999999999</v>
      </c>
      <c r="P19">
        <v>2.9020000000000001</v>
      </c>
      <c r="Q19">
        <v>0</v>
      </c>
      <c r="R19">
        <v>67.081999999999994</v>
      </c>
      <c r="S19">
        <v>66.2</v>
      </c>
      <c r="T19">
        <v>24.7</v>
      </c>
    </row>
    <row r="20" spans="1:20" x14ac:dyDescent="0.3">
      <c r="A20" t="s">
        <v>546</v>
      </c>
      <c r="B20">
        <v>354.52699999999999</v>
      </c>
      <c r="C20">
        <v>100</v>
      </c>
      <c r="D20">
        <v>41.307000000000002</v>
      </c>
      <c r="E20">
        <v>0.60799999999999998</v>
      </c>
      <c r="F20">
        <v>83.016000000000005</v>
      </c>
      <c r="G20">
        <v>20.908000000000001</v>
      </c>
      <c r="H20">
        <v>138.39699999999999</v>
      </c>
      <c r="I20">
        <v>38.448999999999998</v>
      </c>
      <c r="J20">
        <v>11.768000000000001</v>
      </c>
      <c r="K20">
        <v>230.09200000000001</v>
      </c>
      <c r="L20">
        <v>17.114000000000001</v>
      </c>
      <c r="M20">
        <v>52.387999999999998</v>
      </c>
      <c r="N20">
        <v>16.937999999999999</v>
      </c>
      <c r="O20">
        <v>0.99</v>
      </c>
      <c r="P20">
        <v>2.8980000000000001</v>
      </c>
      <c r="Q20">
        <v>0</v>
      </c>
      <c r="R20">
        <v>66.641000000000005</v>
      </c>
      <c r="S20">
        <v>66.2</v>
      </c>
      <c r="T20">
        <v>24.7</v>
      </c>
    </row>
    <row r="21" spans="1:20" x14ac:dyDescent="0.3">
      <c r="A21" t="s">
        <v>547</v>
      </c>
      <c r="B21">
        <v>354.64600000000002</v>
      </c>
      <c r="C21">
        <v>100</v>
      </c>
      <c r="D21">
        <v>41.320999999999998</v>
      </c>
      <c r="E21">
        <v>0.499</v>
      </c>
      <c r="F21">
        <v>81.843999999999994</v>
      </c>
      <c r="G21">
        <v>20.920999999999999</v>
      </c>
      <c r="H21">
        <v>138.22300000000001</v>
      </c>
      <c r="I21">
        <v>38.423999999999999</v>
      </c>
      <c r="J21">
        <v>11.778</v>
      </c>
      <c r="K21">
        <v>230.42099999999999</v>
      </c>
      <c r="L21">
        <v>17.137</v>
      </c>
      <c r="M21">
        <v>52.38</v>
      </c>
      <c r="N21">
        <v>16.95</v>
      </c>
      <c r="O21">
        <v>0.997</v>
      </c>
      <c r="P21">
        <v>2.9060000000000001</v>
      </c>
      <c r="Q21">
        <v>0</v>
      </c>
      <c r="R21">
        <v>66.587999999999994</v>
      </c>
      <c r="S21">
        <v>66.3</v>
      </c>
      <c r="T21">
        <v>24.7</v>
      </c>
    </row>
    <row r="22" spans="1:20" x14ac:dyDescent="0.3">
      <c r="A22" t="s">
        <v>548</v>
      </c>
      <c r="B22">
        <v>354.005</v>
      </c>
      <c r="C22">
        <v>100</v>
      </c>
      <c r="D22">
        <v>41.393000000000001</v>
      </c>
      <c r="E22">
        <v>0.626</v>
      </c>
      <c r="F22">
        <v>82.710999999999999</v>
      </c>
      <c r="G22">
        <v>20.715</v>
      </c>
      <c r="H22">
        <v>138.56100000000001</v>
      </c>
      <c r="I22">
        <v>38.231000000000002</v>
      </c>
      <c r="J22">
        <v>11.766999999999999</v>
      </c>
      <c r="K22">
        <v>230.125</v>
      </c>
      <c r="L22">
        <v>16.98</v>
      </c>
      <c r="M22">
        <v>52.38</v>
      </c>
      <c r="N22">
        <v>16.927</v>
      </c>
      <c r="O22">
        <v>1.0169999999999999</v>
      </c>
      <c r="P22">
        <v>2.89</v>
      </c>
      <c r="Q22">
        <v>0</v>
      </c>
      <c r="R22">
        <v>66.738</v>
      </c>
      <c r="S22">
        <v>66.2</v>
      </c>
      <c r="T22">
        <v>24.7</v>
      </c>
    </row>
    <row r="23" spans="1:20" x14ac:dyDescent="0.3">
      <c r="A23" t="s">
        <v>549</v>
      </c>
      <c r="B23">
        <v>354.77</v>
      </c>
      <c r="C23">
        <v>100</v>
      </c>
      <c r="D23">
        <v>41.472000000000001</v>
      </c>
      <c r="E23">
        <v>0.56599999999999995</v>
      </c>
      <c r="F23">
        <v>82.950999999999993</v>
      </c>
      <c r="G23">
        <v>20.797000000000001</v>
      </c>
      <c r="H23">
        <v>138.655</v>
      </c>
      <c r="I23">
        <v>38.326000000000001</v>
      </c>
      <c r="J23">
        <v>11.779</v>
      </c>
      <c r="K23">
        <v>230.536</v>
      </c>
      <c r="L23">
        <v>17.151</v>
      </c>
      <c r="M23">
        <v>52.37</v>
      </c>
      <c r="N23">
        <v>16.946000000000002</v>
      </c>
      <c r="O23">
        <v>1.01</v>
      </c>
      <c r="P23">
        <v>2.911</v>
      </c>
      <c r="Q23">
        <v>0</v>
      </c>
      <c r="R23">
        <v>66.867999999999995</v>
      </c>
      <c r="S23">
        <v>66.3</v>
      </c>
      <c r="T23">
        <v>24.7</v>
      </c>
    </row>
    <row r="24" spans="1:20" x14ac:dyDescent="0.3">
      <c r="A24" t="s">
        <v>550</v>
      </c>
      <c r="B24">
        <v>354.36599999999999</v>
      </c>
      <c r="C24">
        <v>100</v>
      </c>
      <c r="D24">
        <v>41.61</v>
      </c>
      <c r="E24">
        <v>0.52100000000000002</v>
      </c>
      <c r="F24">
        <v>82.721000000000004</v>
      </c>
      <c r="G24">
        <v>21.100999999999999</v>
      </c>
      <c r="H24">
        <v>138.57</v>
      </c>
      <c r="I24">
        <v>38.460999999999999</v>
      </c>
      <c r="J24">
        <v>11.768000000000001</v>
      </c>
      <c r="K24">
        <v>230.142</v>
      </c>
      <c r="L24">
        <v>17.137</v>
      </c>
      <c r="M24">
        <v>52.411999999999999</v>
      </c>
      <c r="N24">
        <v>16.946999999999999</v>
      </c>
      <c r="O24">
        <v>1.038</v>
      </c>
      <c r="P24">
        <v>2.9060000000000001</v>
      </c>
      <c r="Q24">
        <v>0</v>
      </c>
      <c r="R24">
        <v>67.052000000000007</v>
      </c>
      <c r="S24">
        <v>66.400000000000006</v>
      </c>
      <c r="T24">
        <v>24.7</v>
      </c>
    </row>
    <row r="25" spans="1:20" ht="15" thickBot="1" x14ac:dyDescent="0.35">
      <c r="A25" t="s">
        <v>551</v>
      </c>
      <c r="B25">
        <v>354.68400000000003</v>
      </c>
      <c r="C25">
        <v>100</v>
      </c>
      <c r="D25">
        <v>41.613</v>
      </c>
      <c r="E25">
        <v>0.626</v>
      </c>
      <c r="F25">
        <v>83.084999999999994</v>
      </c>
      <c r="G25">
        <v>21.602</v>
      </c>
      <c r="H25">
        <v>138.62100000000001</v>
      </c>
      <c r="I25">
        <v>38.082999999999998</v>
      </c>
      <c r="J25">
        <v>11.778</v>
      </c>
      <c r="K25">
        <v>230.45400000000001</v>
      </c>
      <c r="L25">
        <v>17.161000000000001</v>
      </c>
      <c r="M25">
        <v>52.366</v>
      </c>
      <c r="N25">
        <v>16.943999999999999</v>
      </c>
      <c r="O25">
        <v>1.002</v>
      </c>
      <c r="P25">
        <v>2.9220000000000002</v>
      </c>
      <c r="Q25">
        <v>0</v>
      </c>
      <c r="R25">
        <v>67.171000000000006</v>
      </c>
      <c r="S25">
        <v>66.3</v>
      </c>
      <c r="T25">
        <v>24.7</v>
      </c>
    </row>
    <row r="26" spans="1:20" ht="15" thickBot="1" x14ac:dyDescent="0.35">
      <c r="A26" t="s">
        <v>0</v>
      </c>
      <c r="B26" s="1">
        <f t="shared" ref="B26:S26" si="0">AVERAGE(B6:B25)</f>
        <v>353.89535000000001</v>
      </c>
      <c r="C26" s="1">
        <f t="shared" si="0"/>
        <v>100</v>
      </c>
      <c r="D26" s="1">
        <f t="shared" si="0"/>
        <v>40.792400000000001</v>
      </c>
      <c r="E26" s="10">
        <f t="shared" si="0"/>
        <v>0.57025000000000003</v>
      </c>
      <c r="F26" s="1">
        <f t="shared" si="0"/>
        <v>82.398750000000007</v>
      </c>
      <c r="G26" s="1">
        <f t="shared" si="0"/>
        <v>20.090600000000002</v>
      </c>
      <c r="H26" s="10">
        <f t="shared" si="0"/>
        <v>138.59280000000004</v>
      </c>
      <c r="I26" s="1">
        <f t="shared" si="0"/>
        <v>38.502449999999996</v>
      </c>
      <c r="J26" s="8">
        <f t="shared" si="0"/>
        <v>11.771149999999999</v>
      </c>
      <c r="K26" s="1">
        <f t="shared" si="0"/>
        <v>230.27879999999996</v>
      </c>
      <c r="L26" s="1">
        <f t="shared" si="0"/>
        <v>17.067900000000002</v>
      </c>
      <c r="M26" s="1">
        <f t="shared" si="0"/>
        <v>52.369700000000009</v>
      </c>
      <c r="N26" s="1">
        <f t="shared" si="0"/>
        <v>16.937000000000005</v>
      </c>
      <c r="O26" s="1">
        <f t="shared" si="0"/>
        <v>1.0083500000000001</v>
      </c>
      <c r="P26" s="1">
        <f t="shared" si="0"/>
        <v>2.9028499999999999</v>
      </c>
      <c r="Q26" s="1">
        <f t="shared" si="0"/>
        <v>0</v>
      </c>
      <c r="R26" s="1">
        <f t="shared" si="0"/>
        <v>66.927749999999989</v>
      </c>
      <c r="S26" s="1">
        <f t="shared" si="0"/>
        <v>66.234999999999999</v>
      </c>
      <c r="T26" s="8">
        <f>AVERAGE(T6:T25)</f>
        <v>24.699999999999992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1.8944999999999999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4664-C810-4401-9EFB-614B1DC1933E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5" sqref="M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0.46795138888888888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49.786663618195597</v>
      </c>
      <c r="M2" s="8">
        <f>(H26*0.001*60)*(K2/100)*(G2/I2)</f>
        <v>2.9311311433820015</v>
      </c>
      <c r="O2" s="9">
        <f>100*((E26*C2)/((E26*C2)+(M2*E2)))</f>
        <v>14.453684783041709</v>
      </c>
      <c r="Q2" s="10">
        <f>100*J26*(1/(((C2/3.6)*E26)+((E2/3.6)*M2)))</f>
        <v>24.720167855140463</v>
      </c>
      <c r="S2" s="6">
        <v>3.54</v>
      </c>
      <c r="U2" s="10">
        <f>100*((((G26*0.001*60)*(C26-D26)*(S2/3.6)))/(((C2/3.6)*E26)+((E2/3.6)*M2)))</f>
        <v>160.47306249008153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552</v>
      </c>
      <c r="B6">
        <v>362.255</v>
      </c>
      <c r="C6">
        <v>100</v>
      </c>
      <c r="D6">
        <v>55.881</v>
      </c>
      <c r="E6">
        <v>0.58799999999999997</v>
      </c>
      <c r="F6">
        <v>82.808999999999997</v>
      </c>
      <c r="G6">
        <v>29.113</v>
      </c>
      <c r="H6">
        <v>137.12799999999999</v>
      </c>
      <c r="I6">
        <v>37.664000000000001</v>
      </c>
      <c r="J6">
        <v>11.776</v>
      </c>
      <c r="K6">
        <v>230.50299999999999</v>
      </c>
      <c r="L6">
        <v>17.064</v>
      </c>
      <c r="M6">
        <v>52.354999999999997</v>
      </c>
      <c r="N6">
        <v>16.937999999999999</v>
      </c>
      <c r="O6">
        <v>0.999</v>
      </c>
      <c r="P6">
        <v>3.2589999999999999</v>
      </c>
      <c r="Q6">
        <v>0</v>
      </c>
      <c r="R6">
        <v>66.436000000000007</v>
      </c>
      <c r="S6">
        <v>66</v>
      </c>
      <c r="T6">
        <v>17.2</v>
      </c>
    </row>
    <row r="7" spans="1:21" x14ac:dyDescent="0.3">
      <c r="A7" t="s">
        <v>553</v>
      </c>
      <c r="B7">
        <v>363.06400000000002</v>
      </c>
      <c r="C7">
        <v>100</v>
      </c>
      <c r="D7">
        <v>56.100999999999999</v>
      </c>
      <c r="E7">
        <v>0.60399999999999998</v>
      </c>
      <c r="F7">
        <v>84.025000000000006</v>
      </c>
      <c r="G7">
        <v>29.234999999999999</v>
      </c>
      <c r="H7">
        <v>137.60499999999999</v>
      </c>
      <c r="I7">
        <v>37.902999999999999</v>
      </c>
      <c r="J7">
        <v>11.766999999999999</v>
      </c>
      <c r="K7">
        <v>230.07599999999999</v>
      </c>
      <c r="L7">
        <v>17.045000000000002</v>
      </c>
      <c r="M7">
        <v>52.337000000000003</v>
      </c>
      <c r="N7">
        <v>16.933</v>
      </c>
      <c r="O7">
        <v>1.006</v>
      </c>
      <c r="P7">
        <v>3.2440000000000002</v>
      </c>
      <c r="Q7">
        <v>0</v>
      </c>
      <c r="R7">
        <v>66.619</v>
      </c>
      <c r="S7">
        <v>66</v>
      </c>
      <c r="T7">
        <v>17.2</v>
      </c>
    </row>
    <row r="8" spans="1:21" x14ac:dyDescent="0.3">
      <c r="A8" t="s">
        <v>554</v>
      </c>
      <c r="B8">
        <v>363.31299999999999</v>
      </c>
      <c r="C8">
        <v>100</v>
      </c>
      <c r="D8">
        <v>56.152999999999999</v>
      </c>
      <c r="E8">
        <v>0.503</v>
      </c>
      <c r="F8">
        <v>81.650000000000006</v>
      </c>
      <c r="G8">
        <v>29.084</v>
      </c>
      <c r="H8">
        <v>137.76400000000001</v>
      </c>
      <c r="I8">
        <v>37.993000000000002</v>
      </c>
      <c r="J8">
        <v>11.773</v>
      </c>
      <c r="K8">
        <v>230.536</v>
      </c>
      <c r="L8">
        <v>17.067</v>
      </c>
      <c r="M8">
        <v>52.305</v>
      </c>
      <c r="N8">
        <v>16.937000000000001</v>
      </c>
      <c r="O8">
        <v>1.0229999999999999</v>
      </c>
      <c r="P8">
        <v>3.2360000000000002</v>
      </c>
      <c r="Q8">
        <v>0</v>
      </c>
      <c r="R8">
        <v>66.915999999999997</v>
      </c>
      <c r="S8">
        <v>66</v>
      </c>
      <c r="T8">
        <v>17.2</v>
      </c>
    </row>
    <row r="9" spans="1:21" x14ac:dyDescent="0.3">
      <c r="A9" t="s">
        <v>555</v>
      </c>
      <c r="B9">
        <v>363.11900000000003</v>
      </c>
      <c r="C9">
        <v>100</v>
      </c>
      <c r="D9">
        <v>56.203000000000003</v>
      </c>
      <c r="E9">
        <v>0.60399999999999998</v>
      </c>
      <c r="F9">
        <v>82.855000000000004</v>
      </c>
      <c r="G9">
        <v>28.585999999999999</v>
      </c>
      <c r="H9">
        <v>137.77500000000001</v>
      </c>
      <c r="I9">
        <v>37.837000000000003</v>
      </c>
      <c r="J9">
        <v>11.766</v>
      </c>
      <c r="K9">
        <v>230.07599999999999</v>
      </c>
      <c r="L9">
        <v>17.045000000000002</v>
      </c>
      <c r="M9">
        <v>52.313000000000002</v>
      </c>
      <c r="N9">
        <v>16.891999999999999</v>
      </c>
      <c r="O9">
        <v>1.014</v>
      </c>
      <c r="P9">
        <v>3.246</v>
      </c>
      <c r="Q9">
        <v>0</v>
      </c>
      <c r="R9">
        <v>66.843999999999994</v>
      </c>
      <c r="S9">
        <v>66</v>
      </c>
      <c r="T9">
        <v>17.2</v>
      </c>
    </row>
    <row r="10" spans="1:21" x14ac:dyDescent="0.3">
      <c r="A10" t="s">
        <v>556</v>
      </c>
      <c r="B10">
        <v>363.471</v>
      </c>
      <c r="C10">
        <v>100</v>
      </c>
      <c r="D10">
        <v>56.301000000000002</v>
      </c>
      <c r="E10">
        <v>0.54700000000000004</v>
      </c>
      <c r="F10">
        <v>83.222999999999999</v>
      </c>
      <c r="G10">
        <v>28.928999999999998</v>
      </c>
      <c r="H10">
        <v>137.25299999999999</v>
      </c>
      <c r="I10">
        <v>37.71</v>
      </c>
      <c r="J10">
        <v>11.773</v>
      </c>
      <c r="K10">
        <v>230.38800000000001</v>
      </c>
      <c r="L10">
        <v>17.059000000000001</v>
      </c>
      <c r="M10">
        <v>52.320999999999998</v>
      </c>
      <c r="N10">
        <v>16.934999999999999</v>
      </c>
      <c r="O10">
        <v>1.006</v>
      </c>
      <c r="P10">
        <v>3.2360000000000002</v>
      </c>
      <c r="Q10">
        <v>0</v>
      </c>
      <c r="R10">
        <v>66.397000000000006</v>
      </c>
      <c r="S10">
        <v>65.900000000000006</v>
      </c>
      <c r="T10">
        <v>17.2</v>
      </c>
    </row>
    <row r="11" spans="1:21" x14ac:dyDescent="0.3">
      <c r="A11" t="s">
        <v>557</v>
      </c>
      <c r="B11">
        <v>363.33499999999998</v>
      </c>
      <c r="C11">
        <v>100</v>
      </c>
      <c r="D11">
        <v>56.344000000000001</v>
      </c>
      <c r="E11">
        <v>0.61799999999999999</v>
      </c>
      <c r="F11">
        <v>83.091999999999999</v>
      </c>
      <c r="G11">
        <v>29.236000000000001</v>
      </c>
      <c r="H11">
        <v>137.179</v>
      </c>
      <c r="I11">
        <v>37.692999999999998</v>
      </c>
      <c r="J11">
        <v>11.766999999999999</v>
      </c>
      <c r="K11">
        <v>230.10900000000001</v>
      </c>
      <c r="L11">
        <v>17.045999999999999</v>
      </c>
      <c r="M11">
        <v>52.320999999999998</v>
      </c>
      <c r="N11">
        <v>16.940000000000001</v>
      </c>
      <c r="O11">
        <v>1.0149999999999999</v>
      </c>
      <c r="P11">
        <v>3.2290000000000001</v>
      </c>
      <c r="Q11">
        <v>0</v>
      </c>
      <c r="R11">
        <v>66.233999999999995</v>
      </c>
      <c r="S11">
        <v>66</v>
      </c>
      <c r="T11">
        <v>17.2</v>
      </c>
    </row>
    <row r="12" spans="1:21" x14ac:dyDescent="0.3">
      <c r="A12" t="s">
        <v>558</v>
      </c>
      <c r="B12">
        <v>363.36399999999998</v>
      </c>
      <c r="C12">
        <v>100</v>
      </c>
      <c r="D12">
        <v>56.341000000000001</v>
      </c>
      <c r="E12">
        <v>0.59899999999999998</v>
      </c>
      <c r="F12">
        <v>83.486000000000004</v>
      </c>
      <c r="G12">
        <v>29.13</v>
      </c>
      <c r="H12">
        <v>137.08699999999999</v>
      </c>
      <c r="I12">
        <v>37.881999999999998</v>
      </c>
      <c r="J12">
        <v>11.776999999999999</v>
      </c>
      <c r="K12">
        <v>230.45400000000001</v>
      </c>
      <c r="L12">
        <v>17.059999999999999</v>
      </c>
      <c r="M12">
        <v>52.387999999999998</v>
      </c>
      <c r="N12">
        <v>16.95</v>
      </c>
      <c r="O12">
        <v>0.98099999999999998</v>
      </c>
      <c r="P12">
        <v>3.2669999999999999</v>
      </c>
      <c r="Q12">
        <v>0</v>
      </c>
      <c r="R12">
        <v>66.307000000000002</v>
      </c>
      <c r="S12">
        <v>66</v>
      </c>
      <c r="T12">
        <v>17.2</v>
      </c>
    </row>
    <row r="13" spans="1:21" x14ac:dyDescent="0.3">
      <c r="A13" t="s">
        <v>559</v>
      </c>
      <c r="B13">
        <v>363.54</v>
      </c>
      <c r="C13">
        <v>100</v>
      </c>
      <c r="D13">
        <v>56.402999999999999</v>
      </c>
      <c r="E13">
        <v>0.60399999999999998</v>
      </c>
      <c r="F13">
        <v>82.891999999999996</v>
      </c>
      <c r="G13">
        <v>29.396000000000001</v>
      </c>
      <c r="H13">
        <v>137.358</v>
      </c>
      <c r="I13">
        <v>37.881999999999998</v>
      </c>
      <c r="J13">
        <v>11.772</v>
      </c>
      <c r="K13">
        <v>230.55199999999999</v>
      </c>
      <c r="L13">
        <v>17.059000000000001</v>
      </c>
      <c r="M13">
        <v>52.421999999999997</v>
      </c>
      <c r="N13">
        <v>16.934000000000001</v>
      </c>
      <c r="O13">
        <v>1.0129999999999999</v>
      </c>
      <c r="P13">
        <v>3.2280000000000002</v>
      </c>
      <c r="Q13">
        <v>0</v>
      </c>
      <c r="R13">
        <v>66.480999999999995</v>
      </c>
      <c r="S13">
        <v>65.900000000000006</v>
      </c>
      <c r="T13">
        <v>17.2</v>
      </c>
    </row>
    <row r="14" spans="1:21" x14ac:dyDescent="0.3">
      <c r="A14" t="s">
        <v>560</v>
      </c>
      <c r="B14">
        <v>362.82</v>
      </c>
      <c r="C14">
        <v>100</v>
      </c>
      <c r="D14">
        <v>56.451999999999998</v>
      </c>
      <c r="E14">
        <v>0.48899999999999999</v>
      </c>
      <c r="F14">
        <v>83.177000000000007</v>
      </c>
      <c r="G14">
        <v>29.683</v>
      </c>
      <c r="H14">
        <v>137.595</v>
      </c>
      <c r="I14">
        <v>37.862000000000002</v>
      </c>
      <c r="J14">
        <v>11.776999999999999</v>
      </c>
      <c r="K14">
        <v>230.404</v>
      </c>
      <c r="L14">
        <v>17.064</v>
      </c>
      <c r="M14">
        <v>52.393999999999998</v>
      </c>
      <c r="N14">
        <v>16.946999999999999</v>
      </c>
      <c r="O14">
        <v>1.0269999999999999</v>
      </c>
      <c r="P14">
        <v>3.2519999999999998</v>
      </c>
      <c r="Q14">
        <v>0</v>
      </c>
      <c r="R14">
        <v>66.641999999999996</v>
      </c>
      <c r="S14">
        <v>66</v>
      </c>
      <c r="T14">
        <v>17.2</v>
      </c>
    </row>
    <row r="15" spans="1:21" x14ac:dyDescent="0.3">
      <c r="A15" t="s">
        <v>561</v>
      </c>
      <c r="B15">
        <v>363.02300000000002</v>
      </c>
      <c r="C15">
        <v>100</v>
      </c>
      <c r="D15">
        <v>56.366999999999997</v>
      </c>
      <c r="E15">
        <v>0.61399999999999999</v>
      </c>
      <c r="F15">
        <v>83.158000000000001</v>
      </c>
      <c r="G15">
        <v>29.986999999999998</v>
      </c>
      <c r="H15">
        <v>137.815</v>
      </c>
      <c r="I15">
        <v>37.158999999999999</v>
      </c>
      <c r="J15">
        <v>11.757</v>
      </c>
      <c r="K15">
        <v>230.10900000000001</v>
      </c>
      <c r="L15">
        <v>17.047000000000001</v>
      </c>
      <c r="M15">
        <v>52.38</v>
      </c>
      <c r="N15">
        <v>16.940999999999999</v>
      </c>
      <c r="O15">
        <v>1.0069999999999999</v>
      </c>
      <c r="P15">
        <v>3.218</v>
      </c>
      <c r="Q15">
        <v>0</v>
      </c>
      <c r="R15">
        <v>66.924000000000007</v>
      </c>
      <c r="S15">
        <v>65.900000000000006</v>
      </c>
      <c r="T15">
        <v>17.2</v>
      </c>
    </row>
    <row r="16" spans="1:21" x14ac:dyDescent="0.3">
      <c r="A16" t="s">
        <v>562</v>
      </c>
      <c r="B16">
        <v>363.60300000000001</v>
      </c>
      <c r="C16">
        <v>100</v>
      </c>
      <c r="D16">
        <v>56.418999999999997</v>
      </c>
      <c r="E16">
        <v>0.57899999999999996</v>
      </c>
      <c r="F16">
        <v>82.825999999999993</v>
      </c>
      <c r="G16">
        <v>30.135000000000002</v>
      </c>
      <c r="H16">
        <v>137.54400000000001</v>
      </c>
      <c r="I16">
        <v>37.590000000000003</v>
      </c>
      <c r="J16">
        <v>11.778</v>
      </c>
      <c r="K16">
        <v>230.50299999999999</v>
      </c>
      <c r="L16">
        <v>17.07</v>
      </c>
      <c r="M16">
        <v>52.353000000000002</v>
      </c>
      <c r="N16">
        <v>16.939</v>
      </c>
      <c r="O16">
        <v>1.0209999999999999</v>
      </c>
      <c r="P16">
        <v>3.2509999999999999</v>
      </c>
      <c r="Q16">
        <v>0</v>
      </c>
      <c r="R16">
        <v>66.879000000000005</v>
      </c>
      <c r="S16">
        <v>65.900000000000006</v>
      </c>
      <c r="T16">
        <v>17.2</v>
      </c>
    </row>
    <row r="17" spans="1:20" x14ac:dyDescent="0.3">
      <c r="A17" t="s">
        <v>563</v>
      </c>
      <c r="B17">
        <v>362.9</v>
      </c>
      <c r="C17">
        <v>100</v>
      </c>
      <c r="D17">
        <v>56.418999999999997</v>
      </c>
      <c r="E17">
        <v>0.56299999999999994</v>
      </c>
      <c r="F17">
        <v>83.427000000000007</v>
      </c>
      <c r="G17">
        <v>29.31</v>
      </c>
      <c r="H17">
        <v>137.44399999999999</v>
      </c>
      <c r="I17">
        <v>37.759</v>
      </c>
      <c r="J17">
        <v>11.768000000000001</v>
      </c>
      <c r="K17">
        <v>230.15799999999999</v>
      </c>
      <c r="L17">
        <v>17.103999999999999</v>
      </c>
      <c r="M17">
        <v>52.494999999999997</v>
      </c>
      <c r="N17">
        <v>16.904</v>
      </c>
      <c r="O17">
        <v>1.0009999999999999</v>
      </c>
      <c r="P17">
        <v>3.2570000000000001</v>
      </c>
      <c r="Q17">
        <v>0</v>
      </c>
      <c r="R17">
        <v>66.429000000000002</v>
      </c>
      <c r="S17">
        <v>65.900000000000006</v>
      </c>
      <c r="T17">
        <v>17.2</v>
      </c>
    </row>
    <row r="18" spans="1:20" x14ac:dyDescent="0.3">
      <c r="A18" t="s">
        <v>564</v>
      </c>
      <c r="B18">
        <v>363.63</v>
      </c>
      <c r="C18">
        <v>100</v>
      </c>
      <c r="D18">
        <v>56.465000000000003</v>
      </c>
      <c r="E18">
        <v>0.63200000000000001</v>
      </c>
      <c r="F18">
        <v>83.637</v>
      </c>
      <c r="G18">
        <v>30.27</v>
      </c>
      <c r="H18">
        <v>137.22900000000001</v>
      </c>
      <c r="I18">
        <v>37.951999999999998</v>
      </c>
      <c r="J18">
        <v>11.776</v>
      </c>
      <c r="K18">
        <v>230.48599999999999</v>
      </c>
      <c r="L18">
        <v>17.068999999999999</v>
      </c>
      <c r="M18">
        <v>52.319000000000003</v>
      </c>
      <c r="N18">
        <v>16.937000000000001</v>
      </c>
      <c r="O18">
        <v>1.0289999999999999</v>
      </c>
      <c r="P18">
        <v>3.24</v>
      </c>
      <c r="Q18">
        <v>0</v>
      </c>
      <c r="R18">
        <v>66.200999999999993</v>
      </c>
      <c r="S18">
        <v>66</v>
      </c>
      <c r="T18">
        <v>17.2</v>
      </c>
    </row>
    <row r="19" spans="1:20" x14ac:dyDescent="0.3">
      <c r="A19" t="s">
        <v>565</v>
      </c>
      <c r="B19">
        <v>362.51799999999997</v>
      </c>
      <c r="C19">
        <v>100</v>
      </c>
      <c r="D19">
        <v>56.459000000000003</v>
      </c>
      <c r="E19">
        <v>0.55800000000000005</v>
      </c>
      <c r="F19">
        <v>83.486000000000004</v>
      </c>
      <c r="G19">
        <v>29.571000000000002</v>
      </c>
      <c r="H19">
        <v>136.92699999999999</v>
      </c>
      <c r="I19">
        <v>37.759</v>
      </c>
      <c r="J19">
        <v>11.77</v>
      </c>
      <c r="K19">
        <v>230.38800000000001</v>
      </c>
      <c r="L19">
        <v>17.059000000000001</v>
      </c>
      <c r="M19">
        <v>52.41</v>
      </c>
      <c r="N19">
        <v>16.931999999999999</v>
      </c>
      <c r="O19">
        <v>1.01</v>
      </c>
      <c r="P19">
        <v>3.2330000000000001</v>
      </c>
      <c r="Q19">
        <v>0</v>
      </c>
      <c r="R19">
        <v>66.198999999999998</v>
      </c>
      <c r="S19">
        <v>66</v>
      </c>
      <c r="T19">
        <v>17.2</v>
      </c>
    </row>
    <row r="20" spans="1:20" x14ac:dyDescent="0.3">
      <c r="A20" t="s">
        <v>566</v>
      </c>
      <c r="B20">
        <v>362.62299999999999</v>
      </c>
      <c r="C20">
        <v>100</v>
      </c>
      <c r="D20">
        <v>56.494999999999997</v>
      </c>
      <c r="E20">
        <v>0.64100000000000001</v>
      </c>
      <c r="F20">
        <v>83.466999999999999</v>
      </c>
      <c r="G20">
        <v>30.45</v>
      </c>
      <c r="H20">
        <v>137.20699999999999</v>
      </c>
      <c r="I20">
        <v>37.566000000000003</v>
      </c>
      <c r="J20">
        <v>11.778</v>
      </c>
      <c r="K20">
        <v>230.55199999999999</v>
      </c>
      <c r="L20">
        <v>17.068000000000001</v>
      </c>
      <c r="M20">
        <v>52.362000000000002</v>
      </c>
      <c r="N20">
        <v>16.936</v>
      </c>
      <c r="O20">
        <v>0.97899999999999998</v>
      </c>
      <c r="P20">
        <v>3.218</v>
      </c>
      <c r="Q20">
        <v>0</v>
      </c>
      <c r="R20">
        <v>66.225999999999999</v>
      </c>
      <c r="S20">
        <v>65.900000000000006</v>
      </c>
      <c r="T20">
        <v>17.2</v>
      </c>
    </row>
    <row r="21" spans="1:20" x14ac:dyDescent="0.3">
      <c r="A21" t="s">
        <v>567</v>
      </c>
      <c r="B21">
        <v>363.149</v>
      </c>
      <c r="C21">
        <v>100</v>
      </c>
      <c r="D21">
        <v>56.524999999999999</v>
      </c>
      <c r="E21">
        <v>0.51800000000000002</v>
      </c>
      <c r="F21">
        <v>82.888000000000005</v>
      </c>
      <c r="G21">
        <v>30.172999999999998</v>
      </c>
      <c r="H21">
        <v>136.96899999999999</v>
      </c>
      <c r="I21">
        <v>37.585999999999999</v>
      </c>
      <c r="J21">
        <v>11.768000000000001</v>
      </c>
      <c r="K21">
        <v>230.30600000000001</v>
      </c>
      <c r="L21">
        <v>17.053999999999998</v>
      </c>
      <c r="M21">
        <v>52.354999999999997</v>
      </c>
      <c r="N21">
        <v>16.934999999999999</v>
      </c>
      <c r="O21">
        <v>1.004</v>
      </c>
      <c r="P21">
        <v>3.2410000000000001</v>
      </c>
      <c r="Q21">
        <v>0</v>
      </c>
      <c r="R21">
        <v>66.352000000000004</v>
      </c>
      <c r="S21">
        <v>66.099999999999994</v>
      </c>
      <c r="T21">
        <v>17.2</v>
      </c>
    </row>
    <row r="22" spans="1:20" x14ac:dyDescent="0.3">
      <c r="A22" t="s">
        <v>568</v>
      </c>
      <c r="B22">
        <v>363.31299999999999</v>
      </c>
      <c r="C22">
        <v>100</v>
      </c>
      <c r="D22">
        <v>56.530999999999999</v>
      </c>
      <c r="E22">
        <v>0.60499999999999998</v>
      </c>
      <c r="F22">
        <v>83.597999999999999</v>
      </c>
      <c r="G22">
        <v>30.289000000000001</v>
      </c>
      <c r="H22">
        <v>137.399</v>
      </c>
      <c r="I22">
        <v>37.893999999999998</v>
      </c>
      <c r="J22">
        <v>11.773</v>
      </c>
      <c r="K22">
        <v>230.25700000000001</v>
      </c>
      <c r="L22">
        <v>17.053999999999998</v>
      </c>
      <c r="M22">
        <v>52.378</v>
      </c>
      <c r="N22">
        <v>16.931999999999999</v>
      </c>
      <c r="O22">
        <v>1.018</v>
      </c>
      <c r="P22">
        <v>3.2559999999999998</v>
      </c>
      <c r="Q22">
        <v>0</v>
      </c>
      <c r="R22">
        <v>66.483000000000004</v>
      </c>
      <c r="S22">
        <v>66.099999999999994</v>
      </c>
      <c r="T22">
        <v>17.2</v>
      </c>
    </row>
    <row r="23" spans="1:20" x14ac:dyDescent="0.3">
      <c r="A23" t="s">
        <v>569</v>
      </c>
      <c r="B23">
        <v>363.25</v>
      </c>
      <c r="C23">
        <v>100</v>
      </c>
      <c r="D23">
        <v>56.649000000000001</v>
      </c>
      <c r="E23">
        <v>0.56399999999999995</v>
      </c>
      <c r="F23">
        <v>83.784999999999997</v>
      </c>
      <c r="G23">
        <v>30.13</v>
      </c>
      <c r="H23">
        <v>137.17699999999999</v>
      </c>
      <c r="I23">
        <v>37.204000000000001</v>
      </c>
      <c r="J23">
        <v>11.768000000000001</v>
      </c>
      <c r="K23">
        <v>230.37200000000001</v>
      </c>
      <c r="L23">
        <v>17.053999999999998</v>
      </c>
      <c r="M23">
        <v>52.398000000000003</v>
      </c>
      <c r="N23">
        <v>16.936</v>
      </c>
      <c r="O23">
        <v>0.98699999999999999</v>
      </c>
      <c r="P23">
        <v>3.2549999999999999</v>
      </c>
      <c r="Q23">
        <v>0</v>
      </c>
      <c r="R23">
        <v>66.605999999999995</v>
      </c>
      <c r="S23">
        <v>66</v>
      </c>
      <c r="T23">
        <v>17.2</v>
      </c>
    </row>
    <row r="24" spans="1:20" x14ac:dyDescent="0.3">
      <c r="A24" t="s">
        <v>570</v>
      </c>
      <c r="B24">
        <v>363.93099999999998</v>
      </c>
      <c r="C24">
        <v>100</v>
      </c>
      <c r="D24">
        <v>56.658999999999999</v>
      </c>
      <c r="E24">
        <v>0.55100000000000005</v>
      </c>
      <c r="F24">
        <v>83.361000000000004</v>
      </c>
      <c r="G24">
        <v>30.638999999999999</v>
      </c>
      <c r="H24">
        <v>137.41300000000001</v>
      </c>
      <c r="I24">
        <v>37.585999999999999</v>
      </c>
      <c r="J24">
        <v>11.766999999999999</v>
      </c>
      <c r="K24">
        <v>230.15799999999999</v>
      </c>
      <c r="L24">
        <v>17.035</v>
      </c>
      <c r="M24">
        <v>52.427999999999997</v>
      </c>
      <c r="N24">
        <v>16.942</v>
      </c>
      <c r="O24">
        <v>1.022</v>
      </c>
      <c r="P24">
        <v>3.2530000000000001</v>
      </c>
      <c r="Q24">
        <v>0</v>
      </c>
      <c r="R24">
        <v>66.763999999999996</v>
      </c>
      <c r="S24">
        <v>66.099999999999994</v>
      </c>
      <c r="T24">
        <v>17.2</v>
      </c>
    </row>
    <row r="25" spans="1:20" ht="15" thickBot="1" x14ac:dyDescent="0.35">
      <c r="A25" t="s">
        <v>571</v>
      </c>
      <c r="B25">
        <v>363.827</v>
      </c>
      <c r="C25">
        <v>100</v>
      </c>
      <c r="D25">
        <v>56.655999999999999</v>
      </c>
      <c r="E25">
        <v>0.624</v>
      </c>
      <c r="F25">
        <v>83.683000000000007</v>
      </c>
      <c r="G25">
        <v>30.628</v>
      </c>
      <c r="H25">
        <v>137.577</v>
      </c>
      <c r="I25">
        <v>37.82</v>
      </c>
      <c r="J25">
        <v>11.769</v>
      </c>
      <c r="K25">
        <v>230.48599999999999</v>
      </c>
      <c r="L25">
        <v>17.062999999999999</v>
      </c>
      <c r="M25">
        <v>52.402000000000001</v>
      </c>
      <c r="N25">
        <v>16.899999999999999</v>
      </c>
      <c r="O25">
        <v>1.0009999999999999</v>
      </c>
      <c r="P25">
        <v>3.2469999999999999</v>
      </c>
      <c r="Q25">
        <v>0</v>
      </c>
      <c r="R25">
        <v>66.97</v>
      </c>
      <c r="S25">
        <v>65.900000000000006</v>
      </c>
      <c r="T25">
        <v>17.2</v>
      </c>
    </row>
    <row r="26" spans="1:20" ht="15" thickBot="1" x14ac:dyDescent="0.35">
      <c r="A26" t="s">
        <v>0</v>
      </c>
      <c r="B26" s="1">
        <f t="shared" ref="B26:S26" si="0">AVERAGE(B6:B25)</f>
        <v>363.20240000000001</v>
      </c>
      <c r="C26" s="1">
        <f t="shared" si="0"/>
        <v>100</v>
      </c>
      <c r="D26" s="1">
        <f t="shared" si="0"/>
        <v>56.391149999999996</v>
      </c>
      <c r="E26" s="10">
        <f t="shared" si="0"/>
        <v>0.58025000000000004</v>
      </c>
      <c r="F26" s="1">
        <f t="shared" si="0"/>
        <v>83.226250000000022</v>
      </c>
      <c r="G26" s="1">
        <f t="shared" si="0"/>
        <v>29.698700000000002</v>
      </c>
      <c r="H26" s="10">
        <f t="shared" si="0"/>
        <v>137.37224999999998</v>
      </c>
      <c r="I26" s="1">
        <f t="shared" si="0"/>
        <v>37.715050000000005</v>
      </c>
      <c r="J26" s="8">
        <f t="shared" si="0"/>
        <v>11.771000000000001</v>
      </c>
      <c r="K26" s="1">
        <f t="shared" si="0"/>
        <v>230.34365000000003</v>
      </c>
      <c r="L26" s="1">
        <f t="shared" si="0"/>
        <v>17.059299999999997</v>
      </c>
      <c r="M26" s="1">
        <f t="shared" si="0"/>
        <v>52.371799999999993</v>
      </c>
      <c r="N26" s="1">
        <f t="shared" si="0"/>
        <v>16.931999999999999</v>
      </c>
      <c r="O26" s="1">
        <f t="shared" si="0"/>
        <v>1.0081499999999999</v>
      </c>
      <c r="P26" s="1">
        <f t="shared" si="0"/>
        <v>3.2432999999999992</v>
      </c>
      <c r="Q26" s="1">
        <f t="shared" si="0"/>
        <v>0</v>
      </c>
      <c r="R26" s="1">
        <f t="shared" si="0"/>
        <v>66.545449999999988</v>
      </c>
      <c r="S26" s="1">
        <f t="shared" si="0"/>
        <v>65.97999999999999</v>
      </c>
      <c r="T26" s="8">
        <f>AVERAGE(T6:T25)</f>
        <v>17.199999999999996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2.2351499999999991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8E38-47AA-46D9-8978-6D7D039FACB8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4" sqref="M34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0.46856481481481482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50.654833668152676</v>
      </c>
      <c r="M2" s="8">
        <f>(H26*0.001*60)*(K2/100)*(G2/I2)</f>
        <v>3.2817689197347595</v>
      </c>
      <c r="O2" s="9">
        <f>100*((E26*C2)/((E26*C2)+(M2*E2)))</f>
        <v>14.359129654395858</v>
      </c>
      <c r="Q2" s="10">
        <f>100*J26*(1/(((C2/3.6)*E26)+((E2/3.6)*M2)))</f>
        <v>25.837711082515241</v>
      </c>
      <c r="S2" s="6">
        <v>3.54</v>
      </c>
      <c r="U2" s="10">
        <f>100*((((G26*0.001*60)*(C26-D26)*(S2/3.6)))/(((C2/3.6)*E26)+((E2/3.6)*M2)))</f>
        <v>167.81938368864709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572</v>
      </c>
      <c r="B6">
        <v>397.78199999999998</v>
      </c>
      <c r="C6">
        <v>100</v>
      </c>
      <c r="D6">
        <v>58.331000000000003</v>
      </c>
      <c r="E6">
        <v>0.61199999999999999</v>
      </c>
      <c r="F6">
        <v>84.912000000000006</v>
      </c>
      <c r="G6">
        <v>34.956000000000003</v>
      </c>
      <c r="H6">
        <v>150.428</v>
      </c>
      <c r="I6">
        <v>37.734000000000002</v>
      </c>
      <c r="J6">
        <v>13.756</v>
      </c>
      <c r="K6">
        <v>230.20699999999999</v>
      </c>
      <c r="L6">
        <v>19.934999999999999</v>
      </c>
      <c r="M6">
        <v>52.225000000000001</v>
      </c>
      <c r="N6">
        <v>19.806000000000001</v>
      </c>
      <c r="O6">
        <v>1.0409999999999999</v>
      </c>
      <c r="P6">
        <v>3.0270000000000001</v>
      </c>
      <c r="Q6">
        <v>0</v>
      </c>
      <c r="R6">
        <v>71.052000000000007</v>
      </c>
      <c r="S6">
        <v>73.7</v>
      </c>
      <c r="T6">
        <v>24.2</v>
      </c>
    </row>
    <row r="7" spans="1:21" x14ac:dyDescent="0.3">
      <c r="A7" t="s">
        <v>573</v>
      </c>
      <c r="B7">
        <v>397.392</v>
      </c>
      <c r="C7">
        <v>100</v>
      </c>
      <c r="D7">
        <v>58.478999999999999</v>
      </c>
      <c r="E7">
        <v>0.65400000000000003</v>
      </c>
      <c r="F7">
        <v>84.034999999999997</v>
      </c>
      <c r="G7">
        <v>34.811</v>
      </c>
      <c r="H7">
        <v>150.53899999999999</v>
      </c>
      <c r="I7">
        <v>37.636000000000003</v>
      </c>
      <c r="J7">
        <v>13.763</v>
      </c>
      <c r="K7">
        <v>230.20699999999999</v>
      </c>
      <c r="L7">
        <v>19.945</v>
      </c>
      <c r="M7">
        <v>52.195</v>
      </c>
      <c r="N7">
        <v>19.815000000000001</v>
      </c>
      <c r="O7">
        <v>1.0649999999999999</v>
      </c>
      <c r="P7">
        <v>3.02</v>
      </c>
      <c r="Q7">
        <v>0</v>
      </c>
      <c r="R7">
        <v>70.894000000000005</v>
      </c>
      <c r="S7">
        <v>73.8</v>
      </c>
      <c r="T7">
        <v>24.2</v>
      </c>
    </row>
    <row r="8" spans="1:21" x14ac:dyDescent="0.3">
      <c r="A8" t="s">
        <v>574</v>
      </c>
      <c r="B8">
        <v>398.959</v>
      </c>
      <c r="C8">
        <v>100</v>
      </c>
      <c r="D8">
        <v>58.518999999999998</v>
      </c>
      <c r="E8">
        <v>0.66</v>
      </c>
      <c r="F8">
        <v>83.853999999999999</v>
      </c>
      <c r="G8">
        <v>35.917000000000002</v>
      </c>
      <c r="H8">
        <v>150.40899999999999</v>
      </c>
      <c r="I8">
        <v>37.459000000000003</v>
      </c>
      <c r="J8">
        <v>13.754</v>
      </c>
      <c r="K8">
        <v>230.24</v>
      </c>
      <c r="L8">
        <v>19.963999999999999</v>
      </c>
      <c r="M8">
        <v>52.238</v>
      </c>
      <c r="N8">
        <v>19.806999999999999</v>
      </c>
      <c r="O8">
        <v>1.022</v>
      </c>
      <c r="P8">
        <v>3.0649999999999999</v>
      </c>
      <c r="Q8">
        <v>0</v>
      </c>
      <c r="R8">
        <v>70.977000000000004</v>
      </c>
      <c r="S8">
        <v>73.900000000000006</v>
      </c>
      <c r="T8">
        <v>24.2</v>
      </c>
    </row>
    <row r="9" spans="1:21" x14ac:dyDescent="0.3">
      <c r="A9" t="s">
        <v>575</v>
      </c>
      <c r="B9">
        <v>398.42099999999999</v>
      </c>
      <c r="C9">
        <v>100</v>
      </c>
      <c r="D9">
        <v>58.506</v>
      </c>
      <c r="E9">
        <v>0.64100000000000001</v>
      </c>
      <c r="F9">
        <v>84.412999999999997</v>
      </c>
      <c r="G9">
        <v>36.064999999999998</v>
      </c>
      <c r="H9">
        <v>150.87899999999999</v>
      </c>
      <c r="I9">
        <v>37.722000000000001</v>
      </c>
      <c r="J9">
        <v>13.763</v>
      </c>
      <c r="K9">
        <v>230.24</v>
      </c>
      <c r="L9">
        <v>20.03</v>
      </c>
      <c r="M9">
        <v>52.25</v>
      </c>
      <c r="N9">
        <v>19.812999999999999</v>
      </c>
      <c r="O9">
        <v>1.044</v>
      </c>
      <c r="P9">
        <v>3.0390000000000001</v>
      </c>
      <c r="Q9">
        <v>0</v>
      </c>
      <c r="R9">
        <v>71.114000000000004</v>
      </c>
      <c r="S9">
        <v>73.7</v>
      </c>
      <c r="T9">
        <v>24.2</v>
      </c>
    </row>
    <row r="10" spans="1:21" x14ac:dyDescent="0.3">
      <c r="A10" t="s">
        <v>576</v>
      </c>
      <c r="B10">
        <v>398.50299999999999</v>
      </c>
      <c r="C10">
        <v>100</v>
      </c>
      <c r="D10">
        <v>58.584000000000003</v>
      </c>
      <c r="E10">
        <v>0.61699999999999999</v>
      </c>
      <c r="F10">
        <v>84.363</v>
      </c>
      <c r="G10">
        <v>36.295999999999999</v>
      </c>
      <c r="H10">
        <v>151.06100000000001</v>
      </c>
      <c r="I10">
        <v>37.558</v>
      </c>
      <c r="J10">
        <v>13.763999999999999</v>
      </c>
      <c r="K10">
        <v>230.273</v>
      </c>
      <c r="L10">
        <v>20.052</v>
      </c>
      <c r="M10">
        <v>52.204999999999998</v>
      </c>
      <c r="N10">
        <v>19.824000000000002</v>
      </c>
      <c r="O10">
        <v>1.044</v>
      </c>
      <c r="P10">
        <v>3.0419999999999998</v>
      </c>
      <c r="Q10">
        <v>0</v>
      </c>
      <c r="R10">
        <v>71.268000000000001</v>
      </c>
      <c r="S10">
        <v>73.8</v>
      </c>
      <c r="T10">
        <v>24.2</v>
      </c>
    </row>
    <row r="11" spans="1:21" x14ac:dyDescent="0.3">
      <c r="A11" t="s">
        <v>577</v>
      </c>
      <c r="B11">
        <v>399.11</v>
      </c>
      <c r="C11">
        <v>100</v>
      </c>
      <c r="D11">
        <v>58.613999999999997</v>
      </c>
      <c r="E11">
        <v>0.63700000000000001</v>
      </c>
      <c r="F11">
        <v>84.912000000000006</v>
      </c>
      <c r="G11">
        <v>36.268000000000001</v>
      </c>
      <c r="H11">
        <v>151.11000000000001</v>
      </c>
      <c r="I11">
        <v>37.360999999999997</v>
      </c>
      <c r="J11">
        <v>13.76</v>
      </c>
      <c r="K11">
        <v>230.15799999999999</v>
      </c>
      <c r="L11">
        <v>20.045999999999999</v>
      </c>
      <c r="M11">
        <v>52.283999999999999</v>
      </c>
      <c r="N11">
        <v>19.814</v>
      </c>
      <c r="O11">
        <v>1.044</v>
      </c>
      <c r="P11">
        <v>3.04</v>
      </c>
      <c r="Q11">
        <v>0</v>
      </c>
      <c r="R11">
        <v>71.481999999999999</v>
      </c>
      <c r="S11">
        <v>73.7</v>
      </c>
      <c r="T11">
        <v>24.2</v>
      </c>
    </row>
    <row r="12" spans="1:21" x14ac:dyDescent="0.3">
      <c r="A12" t="s">
        <v>578</v>
      </c>
      <c r="B12">
        <v>400.14600000000002</v>
      </c>
      <c r="C12">
        <v>100</v>
      </c>
      <c r="D12">
        <v>58.731999999999999</v>
      </c>
      <c r="E12">
        <v>0.66300000000000003</v>
      </c>
      <c r="F12">
        <v>85.016999999999996</v>
      </c>
      <c r="G12">
        <v>36.326000000000001</v>
      </c>
      <c r="H12">
        <v>151.38800000000001</v>
      </c>
      <c r="I12">
        <v>37.521000000000001</v>
      </c>
      <c r="J12">
        <v>13.756</v>
      </c>
      <c r="K12">
        <v>230.322</v>
      </c>
      <c r="L12">
        <v>20.048999999999999</v>
      </c>
      <c r="M12">
        <v>52.313000000000002</v>
      </c>
      <c r="N12">
        <v>19.821999999999999</v>
      </c>
      <c r="O12">
        <v>1.02</v>
      </c>
      <c r="P12">
        <v>3.016</v>
      </c>
      <c r="Q12">
        <v>0</v>
      </c>
      <c r="R12">
        <v>71.686999999999998</v>
      </c>
      <c r="S12">
        <v>73.8</v>
      </c>
      <c r="T12">
        <v>24.2</v>
      </c>
    </row>
    <row r="13" spans="1:21" x14ac:dyDescent="0.3">
      <c r="A13" t="s">
        <v>579</v>
      </c>
      <c r="B13">
        <v>399.23599999999999</v>
      </c>
      <c r="C13">
        <v>100</v>
      </c>
      <c r="D13">
        <v>58.731999999999999</v>
      </c>
      <c r="E13">
        <v>0.621</v>
      </c>
      <c r="F13">
        <v>84.534000000000006</v>
      </c>
      <c r="G13">
        <v>36.832999999999998</v>
      </c>
      <c r="H13">
        <v>151.46100000000001</v>
      </c>
      <c r="I13">
        <v>37.718000000000004</v>
      </c>
      <c r="J13">
        <v>13.765000000000001</v>
      </c>
      <c r="K13">
        <v>230.20699999999999</v>
      </c>
      <c r="L13">
        <v>20.062999999999999</v>
      </c>
      <c r="M13">
        <v>52.283999999999999</v>
      </c>
      <c r="N13">
        <v>19.818999999999999</v>
      </c>
      <c r="O13">
        <v>1.048</v>
      </c>
      <c r="P13">
        <v>3.044</v>
      </c>
      <c r="Q13">
        <v>0</v>
      </c>
      <c r="R13">
        <v>71.802000000000007</v>
      </c>
      <c r="S13">
        <v>73.599999999999994</v>
      </c>
      <c r="T13">
        <v>24.2</v>
      </c>
    </row>
    <row r="14" spans="1:21" x14ac:dyDescent="0.3">
      <c r="A14" t="s">
        <v>580</v>
      </c>
      <c r="B14">
        <v>398.65199999999999</v>
      </c>
      <c r="C14">
        <v>100</v>
      </c>
      <c r="D14">
        <v>58.728999999999999</v>
      </c>
      <c r="E14">
        <v>0.59499999999999997</v>
      </c>
      <c r="F14">
        <v>84.481999999999999</v>
      </c>
      <c r="G14">
        <v>36.735999999999997</v>
      </c>
      <c r="H14">
        <v>151.50700000000001</v>
      </c>
      <c r="I14">
        <v>37.433999999999997</v>
      </c>
      <c r="J14">
        <v>13.759</v>
      </c>
      <c r="K14">
        <v>230.38800000000001</v>
      </c>
      <c r="L14">
        <v>20.062999999999999</v>
      </c>
      <c r="M14">
        <v>52.292999999999999</v>
      </c>
      <c r="N14">
        <v>19.818999999999999</v>
      </c>
      <c r="O14">
        <v>1.034</v>
      </c>
      <c r="P14">
        <v>3.0449999999999999</v>
      </c>
      <c r="Q14">
        <v>0</v>
      </c>
      <c r="R14">
        <v>71.903000000000006</v>
      </c>
      <c r="S14">
        <v>73.599999999999994</v>
      </c>
      <c r="T14">
        <v>24.2</v>
      </c>
    </row>
    <row r="15" spans="1:21" x14ac:dyDescent="0.3">
      <c r="A15" t="s">
        <v>581</v>
      </c>
      <c r="B15">
        <v>399.99299999999999</v>
      </c>
      <c r="C15">
        <v>100</v>
      </c>
      <c r="D15">
        <v>58.808</v>
      </c>
      <c r="E15">
        <v>0.64300000000000002</v>
      </c>
      <c r="F15">
        <v>85.361999999999995</v>
      </c>
      <c r="G15">
        <v>36.783999999999999</v>
      </c>
      <c r="H15">
        <v>151.62899999999999</v>
      </c>
      <c r="I15">
        <v>37.389000000000003</v>
      </c>
      <c r="J15">
        <v>13.773999999999999</v>
      </c>
      <c r="K15">
        <v>230.17400000000001</v>
      </c>
      <c r="L15">
        <v>20.062999999999999</v>
      </c>
      <c r="M15">
        <v>52.225000000000001</v>
      </c>
      <c r="N15">
        <v>19.834</v>
      </c>
      <c r="O15">
        <v>1.0429999999999999</v>
      </c>
      <c r="P15">
        <v>3.04</v>
      </c>
      <c r="Q15">
        <v>0</v>
      </c>
      <c r="R15">
        <v>72.003</v>
      </c>
      <c r="S15">
        <v>73.599999999999994</v>
      </c>
      <c r="T15">
        <v>24.2</v>
      </c>
    </row>
    <row r="16" spans="1:21" x14ac:dyDescent="0.3">
      <c r="A16" t="s">
        <v>582</v>
      </c>
      <c r="B16">
        <v>399.35500000000002</v>
      </c>
      <c r="C16">
        <v>100</v>
      </c>
      <c r="D16">
        <v>58.863999999999997</v>
      </c>
      <c r="E16">
        <v>0.67100000000000004</v>
      </c>
      <c r="F16">
        <v>85.168000000000006</v>
      </c>
      <c r="G16">
        <v>37.378999999999998</v>
      </c>
      <c r="H16">
        <v>151.727</v>
      </c>
      <c r="I16">
        <v>37.594999999999999</v>
      </c>
      <c r="J16">
        <v>13.755000000000001</v>
      </c>
      <c r="K16">
        <v>230.35499999999999</v>
      </c>
      <c r="L16">
        <v>20.048999999999999</v>
      </c>
      <c r="M16">
        <v>52.23</v>
      </c>
      <c r="N16">
        <v>19.811</v>
      </c>
      <c r="O16">
        <v>1.0429999999999999</v>
      </c>
      <c r="P16">
        <v>3.0579999999999998</v>
      </c>
      <c r="Q16">
        <v>0</v>
      </c>
      <c r="R16">
        <v>72.100999999999999</v>
      </c>
      <c r="S16">
        <v>73.599999999999994</v>
      </c>
      <c r="T16">
        <v>24.2</v>
      </c>
    </row>
    <row r="17" spans="1:20" x14ac:dyDescent="0.3">
      <c r="A17" t="s">
        <v>583</v>
      </c>
      <c r="B17">
        <v>400.21100000000001</v>
      </c>
      <c r="C17">
        <v>100</v>
      </c>
      <c r="D17">
        <v>58.856999999999999</v>
      </c>
      <c r="E17">
        <v>0.67800000000000005</v>
      </c>
      <c r="F17">
        <v>84.215999999999994</v>
      </c>
      <c r="G17">
        <v>37.43</v>
      </c>
      <c r="H17">
        <v>151.72399999999999</v>
      </c>
      <c r="I17">
        <v>37.512</v>
      </c>
      <c r="J17">
        <v>13.757999999999999</v>
      </c>
      <c r="K17">
        <v>230.07599999999999</v>
      </c>
      <c r="L17">
        <v>20.026</v>
      </c>
      <c r="M17">
        <v>52.276000000000003</v>
      </c>
      <c r="N17">
        <v>19.818000000000001</v>
      </c>
      <c r="O17">
        <v>1.056</v>
      </c>
      <c r="P17">
        <v>3.0379999999999998</v>
      </c>
      <c r="Q17">
        <v>0</v>
      </c>
      <c r="R17">
        <v>72.412999999999997</v>
      </c>
      <c r="S17">
        <v>73.400000000000006</v>
      </c>
      <c r="T17">
        <v>24.2</v>
      </c>
    </row>
    <row r="18" spans="1:20" x14ac:dyDescent="0.3">
      <c r="A18" t="s">
        <v>584</v>
      </c>
      <c r="B18">
        <v>400.12099999999998</v>
      </c>
      <c r="C18">
        <v>100</v>
      </c>
      <c r="D18">
        <v>59.076999999999998</v>
      </c>
      <c r="E18">
        <v>0.65</v>
      </c>
      <c r="F18">
        <v>84.492000000000004</v>
      </c>
      <c r="G18">
        <v>37.250999999999998</v>
      </c>
      <c r="H18">
        <v>150.92099999999999</v>
      </c>
      <c r="I18">
        <v>37.139000000000003</v>
      </c>
      <c r="J18">
        <v>13.757999999999999</v>
      </c>
      <c r="K18">
        <v>230.45400000000001</v>
      </c>
      <c r="L18">
        <v>20.027000000000001</v>
      </c>
      <c r="M18">
        <v>52.186999999999998</v>
      </c>
      <c r="N18">
        <v>19.812000000000001</v>
      </c>
      <c r="O18">
        <v>1.0129999999999999</v>
      </c>
      <c r="P18">
        <v>3.0630000000000002</v>
      </c>
      <c r="Q18">
        <v>0</v>
      </c>
      <c r="R18">
        <v>72.138999999999996</v>
      </c>
      <c r="S18">
        <v>73.5</v>
      </c>
      <c r="T18">
        <v>24.2</v>
      </c>
    </row>
    <row r="19" spans="1:20" x14ac:dyDescent="0.3">
      <c r="A19" t="s">
        <v>585</v>
      </c>
      <c r="B19">
        <v>399.51499999999999</v>
      </c>
      <c r="C19">
        <v>100</v>
      </c>
      <c r="D19">
        <v>59.084000000000003</v>
      </c>
      <c r="E19">
        <v>0.64500000000000002</v>
      </c>
      <c r="F19">
        <v>84.162999999999997</v>
      </c>
      <c r="G19">
        <v>36.814999999999998</v>
      </c>
      <c r="H19">
        <v>151.05600000000001</v>
      </c>
      <c r="I19">
        <v>37.433999999999997</v>
      </c>
      <c r="J19">
        <v>13.759</v>
      </c>
      <c r="K19">
        <v>230.125</v>
      </c>
      <c r="L19">
        <v>20.02</v>
      </c>
      <c r="M19">
        <v>52.164999999999999</v>
      </c>
      <c r="N19">
        <v>19.815000000000001</v>
      </c>
      <c r="O19">
        <v>1.0389999999999999</v>
      </c>
      <c r="P19">
        <v>3.0720000000000001</v>
      </c>
      <c r="Q19">
        <v>0</v>
      </c>
      <c r="R19">
        <v>71.680000000000007</v>
      </c>
      <c r="S19">
        <v>73.5</v>
      </c>
      <c r="T19">
        <v>24.2</v>
      </c>
    </row>
    <row r="20" spans="1:20" x14ac:dyDescent="0.3">
      <c r="A20" t="s">
        <v>586</v>
      </c>
      <c r="B20">
        <v>400.26400000000001</v>
      </c>
      <c r="C20">
        <v>100</v>
      </c>
      <c r="D20">
        <v>59.195</v>
      </c>
      <c r="E20">
        <v>0.63500000000000001</v>
      </c>
      <c r="F20">
        <v>85.096000000000004</v>
      </c>
      <c r="G20">
        <v>37.04</v>
      </c>
      <c r="H20">
        <v>151.01499999999999</v>
      </c>
      <c r="I20">
        <v>37.648000000000003</v>
      </c>
      <c r="J20">
        <v>13.756</v>
      </c>
      <c r="K20">
        <v>230.43700000000001</v>
      </c>
      <c r="L20">
        <v>20.053000000000001</v>
      </c>
      <c r="M20">
        <v>52.271999999999998</v>
      </c>
      <c r="N20">
        <v>19.824000000000002</v>
      </c>
      <c r="O20">
        <v>0.97899999999999998</v>
      </c>
      <c r="P20">
        <v>2.9830000000000001</v>
      </c>
      <c r="Q20">
        <v>0</v>
      </c>
      <c r="R20">
        <v>71.653999999999996</v>
      </c>
      <c r="S20">
        <v>73.5</v>
      </c>
      <c r="T20">
        <v>24.2</v>
      </c>
    </row>
    <row r="21" spans="1:20" x14ac:dyDescent="0.3">
      <c r="A21" t="s">
        <v>587</v>
      </c>
      <c r="B21">
        <v>400.90300000000002</v>
      </c>
      <c r="C21">
        <v>100</v>
      </c>
      <c r="D21">
        <v>59.234999999999999</v>
      </c>
      <c r="E21">
        <v>0.629</v>
      </c>
      <c r="F21">
        <v>84.718000000000004</v>
      </c>
      <c r="G21">
        <v>37.584000000000003</v>
      </c>
      <c r="H21">
        <v>150.99799999999999</v>
      </c>
      <c r="I21">
        <v>37.414000000000001</v>
      </c>
      <c r="J21">
        <v>13.759</v>
      </c>
      <c r="K21">
        <v>230.125</v>
      </c>
      <c r="L21">
        <v>20.055</v>
      </c>
      <c r="M21">
        <v>52.225999999999999</v>
      </c>
      <c r="N21">
        <v>19.815999999999999</v>
      </c>
      <c r="O21">
        <v>1.0469999999999999</v>
      </c>
      <c r="P21">
        <v>3.03</v>
      </c>
      <c r="Q21">
        <v>0</v>
      </c>
      <c r="R21">
        <v>71.706999999999994</v>
      </c>
      <c r="S21">
        <v>73.400000000000006</v>
      </c>
      <c r="T21">
        <v>24.2</v>
      </c>
    </row>
    <row r="22" spans="1:20" x14ac:dyDescent="0.3">
      <c r="A22" t="s">
        <v>588</v>
      </c>
      <c r="B22">
        <v>400.69499999999999</v>
      </c>
      <c r="C22">
        <v>100</v>
      </c>
      <c r="D22">
        <v>59.332999999999998</v>
      </c>
      <c r="E22">
        <v>0.64</v>
      </c>
      <c r="F22">
        <v>85.316000000000003</v>
      </c>
      <c r="G22">
        <v>37.826000000000001</v>
      </c>
      <c r="H22">
        <v>151.10400000000001</v>
      </c>
      <c r="I22">
        <v>37.200000000000003</v>
      </c>
      <c r="J22">
        <v>13.757999999999999</v>
      </c>
      <c r="K22">
        <v>230.47</v>
      </c>
      <c r="L22">
        <v>20.099</v>
      </c>
      <c r="M22">
        <v>52.168999999999997</v>
      </c>
      <c r="N22">
        <v>19.809999999999999</v>
      </c>
      <c r="O22">
        <v>1.0229999999999999</v>
      </c>
      <c r="P22">
        <v>3.0449999999999999</v>
      </c>
      <c r="Q22">
        <v>0</v>
      </c>
      <c r="R22">
        <v>71.722999999999999</v>
      </c>
      <c r="S22">
        <v>73.5</v>
      </c>
      <c r="T22">
        <v>24.2</v>
      </c>
    </row>
    <row r="23" spans="1:20" x14ac:dyDescent="0.3">
      <c r="A23" t="s">
        <v>589</v>
      </c>
      <c r="B23">
        <v>400.38900000000001</v>
      </c>
      <c r="C23">
        <v>100</v>
      </c>
      <c r="D23">
        <v>59.386000000000003</v>
      </c>
      <c r="E23">
        <v>0.64200000000000002</v>
      </c>
      <c r="F23">
        <v>84.429000000000002</v>
      </c>
      <c r="G23">
        <v>38.567999999999998</v>
      </c>
      <c r="H23">
        <v>151.30500000000001</v>
      </c>
      <c r="I23">
        <v>37.503999999999998</v>
      </c>
      <c r="J23">
        <v>13.760999999999999</v>
      </c>
      <c r="K23">
        <v>230.17400000000001</v>
      </c>
      <c r="L23">
        <v>20.096</v>
      </c>
      <c r="M23">
        <v>52.203000000000003</v>
      </c>
      <c r="N23">
        <v>19.814</v>
      </c>
      <c r="O23">
        <v>1.038</v>
      </c>
      <c r="P23">
        <v>3.0470000000000002</v>
      </c>
      <c r="Q23">
        <v>0</v>
      </c>
      <c r="R23">
        <v>71.834999999999994</v>
      </c>
      <c r="S23">
        <v>73.400000000000006</v>
      </c>
      <c r="T23">
        <v>24.2</v>
      </c>
    </row>
    <row r="24" spans="1:20" x14ac:dyDescent="0.3">
      <c r="A24" t="s">
        <v>590</v>
      </c>
      <c r="B24">
        <v>400.26900000000001</v>
      </c>
      <c r="C24">
        <v>100</v>
      </c>
      <c r="D24">
        <v>59.465000000000003</v>
      </c>
      <c r="E24">
        <v>0.68899999999999995</v>
      </c>
      <c r="F24">
        <v>84.623000000000005</v>
      </c>
      <c r="G24">
        <v>38.298999999999999</v>
      </c>
      <c r="H24">
        <v>151.60300000000001</v>
      </c>
      <c r="I24">
        <v>37.558</v>
      </c>
      <c r="J24">
        <v>13.760999999999999</v>
      </c>
      <c r="K24">
        <v>230.51900000000001</v>
      </c>
      <c r="L24">
        <v>20.062999999999999</v>
      </c>
      <c r="M24">
        <v>52.185000000000002</v>
      </c>
      <c r="N24">
        <v>19.811</v>
      </c>
      <c r="O24">
        <v>1.0329999999999999</v>
      </c>
      <c r="P24">
        <v>3.06</v>
      </c>
      <c r="Q24">
        <v>0</v>
      </c>
      <c r="R24">
        <v>72.019000000000005</v>
      </c>
      <c r="S24">
        <v>73.5</v>
      </c>
      <c r="T24">
        <v>24.2</v>
      </c>
    </row>
    <row r="25" spans="1:20" ht="15" thickBot="1" x14ac:dyDescent="0.35">
      <c r="A25" t="s">
        <v>591</v>
      </c>
      <c r="B25">
        <v>401.11399999999998</v>
      </c>
      <c r="C25">
        <v>100</v>
      </c>
      <c r="D25">
        <v>59.514000000000003</v>
      </c>
      <c r="E25">
        <v>0.67200000000000004</v>
      </c>
      <c r="F25">
        <v>85.397999999999996</v>
      </c>
      <c r="G25">
        <v>37.966999999999999</v>
      </c>
      <c r="H25">
        <v>151.524</v>
      </c>
      <c r="I25">
        <v>37.237000000000002</v>
      </c>
      <c r="J25">
        <v>13.755000000000001</v>
      </c>
      <c r="K25">
        <v>229.977</v>
      </c>
      <c r="L25">
        <v>19.942</v>
      </c>
      <c r="M25">
        <v>52.198999999999998</v>
      </c>
      <c r="N25">
        <v>19.811</v>
      </c>
      <c r="O25">
        <v>1.0449999999999999</v>
      </c>
      <c r="P25">
        <v>3.0089999999999999</v>
      </c>
      <c r="Q25">
        <v>0</v>
      </c>
      <c r="R25">
        <v>72.293999999999997</v>
      </c>
      <c r="S25">
        <v>73.3</v>
      </c>
      <c r="T25">
        <v>24.2</v>
      </c>
    </row>
    <row r="26" spans="1:20" ht="15" thickBot="1" x14ac:dyDescent="0.35">
      <c r="A26" t="s">
        <v>0</v>
      </c>
      <c r="B26" s="1">
        <f t="shared" ref="B26:S26" si="0">AVERAGE(B6:B25)</f>
        <v>399.55150000000003</v>
      </c>
      <c r="C26" s="1">
        <f t="shared" si="0"/>
        <v>100</v>
      </c>
      <c r="D26" s="1">
        <f t="shared" si="0"/>
        <v>58.902199999999993</v>
      </c>
      <c r="E26" s="10">
        <f t="shared" si="0"/>
        <v>0.64470000000000005</v>
      </c>
      <c r="F26" s="1">
        <f t="shared" si="0"/>
        <v>84.675150000000002</v>
      </c>
      <c r="G26" s="1">
        <f t="shared" si="0"/>
        <v>36.857549999999996</v>
      </c>
      <c r="H26" s="10">
        <f t="shared" si="0"/>
        <v>151.16939999999997</v>
      </c>
      <c r="I26" s="1">
        <f t="shared" si="0"/>
        <v>37.488650000000007</v>
      </c>
      <c r="J26" s="8">
        <f t="shared" si="0"/>
        <v>13.7597</v>
      </c>
      <c r="K26" s="1">
        <f t="shared" si="0"/>
        <v>230.25639999999999</v>
      </c>
      <c r="L26" s="1">
        <f t="shared" si="0"/>
        <v>20.031999999999996</v>
      </c>
      <c r="M26" s="1">
        <f t="shared" si="0"/>
        <v>52.231200000000001</v>
      </c>
      <c r="N26" s="1">
        <f t="shared" si="0"/>
        <v>19.815749999999998</v>
      </c>
      <c r="O26" s="1">
        <f t="shared" si="0"/>
        <v>1.0360500000000001</v>
      </c>
      <c r="P26" s="1">
        <f t="shared" si="0"/>
        <v>3.0391500000000002</v>
      </c>
      <c r="Q26" s="1">
        <f t="shared" si="0"/>
        <v>0</v>
      </c>
      <c r="R26" s="1">
        <f t="shared" si="0"/>
        <v>71.687350000000009</v>
      </c>
      <c r="S26" s="1">
        <f t="shared" si="0"/>
        <v>73.59</v>
      </c>
      <c r="T26" s="8">
        <f>AVERAGE(T6:T25)</f>
        <v>24.199999999999992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2.0030999999999999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A7F5-5060-49CC-A429-2861E7E695ED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9" sqref="M39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0.47396990740740741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39.88996299732036</v>
      </c>
      <c r="M2" s="8">
        <f>(H26*0.001*60)*(K2/100)*(G2/I2)</f>
        <v>1.7237567080822984</v>
      </c>
      <c r="O2" s="9">
        <f>100*((E26*C2)/((E26*C2)+(M2*E2)))</f>
        <v>14.802399890274497</v>
      </c>
      <c r="Q2" s="10">
        <f>100*J26*(1/(((C2/3.6)*E26)+((E2/3.6)*M2)))</f>
        <v>3.200854253297769E-3</v>
      </c>
      <c r="S2" s="6">
        <v>3.54</v>
      </c>
      <c r="U2" s="10">
        <f>100*((((G26*0.001*60)*(C26-D26)*(S2/3.6)))/(((C2/3.6)*E26)+((E2/3.6)*M2)))</f>
        <v>16.410296605721808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592</v>
      </c>
      <c r="B6">
        <v>153.02099999999999</v>
      </c>
      <c r="C6">
        <v>58.186999999999998</v>
      </c>
      <c r="D6">
        <v>34.366</v>
      </c>
      <c r="E6">
        <v>0.35899999999999999</v>
      </c>
      <c r="F6">
        <v>77.825999999999993</v>
      </c>
      <c r="G6">
        <v>3.4470000000000001</v>
      </c>
      <c r="H6">
        <v>100.748</v>
      </c>
      <c r="I6">
        <v>32.067</v>
      </c>
      <c r="J6">
        <v>1E-3</v>
      </c>
      <c r="K6">
        <v>230.07599999999999</v>
      </c>
      <c r="L6">
        <v>0</v>
      </c>
      <c r="M6">
        <v>52.887</v>
      </c>
      <c r="N6">
        <v>0</v>
      </c>
      <c r="O6">
        <v>0.94199999999999995</v>
      </c>
      <c r="P6">
        <v>3.0259999999999998</v>
      </c>
      <c r="Q6">
        <v>0</v>
      </c>
      <c r="R6">
        <v>58.084000000000003</v>
      </c>
      <c r="S6">
        <v>38.5</v>
      </c>
      <c r="T6">
        <v>15.5</v>
      </c>
    </row>
    <row r="7" spans="1:21" x14ac:dyDescent="0.3">
      <c r="A7" t="s">
        <v>593</v>
      </c>
      <c r="B7">
        <v>152.84200000000001</v>
      </c>
      <c r="C7">
        <v>58.235999999999997</v>
      </c>
      <c r="D7">
        <v>34.427999999999997</v>
      </c>
      <c r="E7">
        <v>0.34300000000000003</v>
      </c>
      <c r="F7">
        <v>77.992999999999995</v>
      </c>
      <c r="G7">
        <v>3.3460000000000001</v>
      </c>
      <c r="H7">
        <v>100.75700000000001</v>
      </c>
      <c r="I7">
        <v>32.116999999999997</v>
      </c>
      <c r="J7">
        <v>2E-3</v>
      </c>
      <c r="K7">
        <v>229.76400000000001</v>
      </c>
      <c r="L7">
        <v>0</v>
      </c>
      <c r="M7">
        <v>52.822000000000003</v>
      </c>
      <c r="N7">
        <v>0</v>
      </c>
      <c r="O7">
        <v>0.92600000000000005</v>
      </c>
      <c r="P7">
        <v>3.0150000000000001</v>
      </c>
      <c r="Q7">
        <v>0</v>
      </c>
      <c r="R7">
        <v>58.091999999999999</v>
      </c>
      <c r="S7">
        <v>38.700000000000003</v>
      </c>
      <c r="T7">
        <v>15.5</v>
      </c>
    </row>
    <row r="8" spans="1:21" x14ac:dyDescent="0.3">
      <c r="A8" t="s">
        <v>594</v>
      </c>
      <c r="B8">
        <v>152.83199999999999</v>
      </c>
      <c r="C8">
        <v>58.23</v>
      </c>
      <c r="D8">
        <v>34.438000000000002</v>
      </c>
      <c r="E8">
        <v>0.34200000000000003</v>
      </c>
      <c r="F8">
        <v>78.125</v>
      </c>
      <c r="G8">
        <v>3.8319999999999999</v>
      </c>
      <c r="H8">
        <v>100.783</v>
      </c>
      <c r="I8">
        <v>32.182000000000002</v>
      </c>
      <c r="J8">
        <v>0</v>
      </c>
      <c r="K8">
        <v>230.01</v>
      </c>
      <c r="L8">
        <v>0</v>
      </c>
      <c r="M8">
        <v>52.914000000000001</v>
      </c>
      <c r="N8">
        <v>0</v>
      </c>
      <c r="O8">
        <v>0.94899999999999995</v>
      </c>
      <c r="P8">
        <v>3.0270000000000001</v>
      </c>
      <c r="Q8">
        <v>0</v>
      </c>
      <c r="R8">
        <v>58.119</v>
      </c>
      <c r="S8">
        <v>38.5</v>
      </c>
      <c r="T8">
        <v>15.5</v>
      </c>
    </row>
    <row r="9" spans="1:21" x14ac:dyDescent="0.3">
      <c r="A9" t="s">
        <v>595</v>
      </c>
      <c r="B9">
        <v>152.696</v>
      </c>
      <c r="C9">
        <v>58.203000000000003</v>
      </c>
      <c r="D9">
        <v>34.386000000000003</v>
      </c>
      <c r="E9">
        <v>0.376</v>
      </c>
      <c r="F9">
        <v>78.039000000000001</v>
      </c>
      <c r="G9">
        <v>3.1829999999999998</v>
      </c>
      <c r="H9">
        <v>100.89100000000001</v>
      </c>
      <c r="I9">
        <v>32.511000000000003</v>
      </c>
      <c r="J9">
        <v>1E-3</v>
      </c>
      <c r="K9">
        <v>229.797</v>
      </c>
      <c r="L9">
        <v>0</v>
      </c>
      <c r="M9">
        <v>52.956000000000003</v>
      </c>
      <c r="N9">
        <v>0</v>
      </c>
      <c r="O9">
        <v>0.94199999999999995</v>
      </c>
      <c r="P9">
        <v>3.0310000000000001</v>
      </c>
      <c r="Q9">
        <v>0</v>
      </c>
      <c r="R9">
        <v>58.161000000000001</v>
      </c>
      <c r="S9">
        <v>38.6</v>
      </c>
      <c r="T9">
        <v>15.5</v>
      </c>
    </row>
    <row r="10" spans="1:21" x14ac:dyDescent="0.3">
      <c r="A10" t="s">
        <v>596</v>
      </c>
      <c r="B10">
        <v>152.44499999999999</v>
      </c>
      <c r="C10">
        <v>58.183999999999997</v>
      </c>
      <c r="D10">
        <v>34.326000000000001</v>
      </c>
      <c r="E10">
        <v>0.371</v>
      </c>
      <c r="F10">
        <v>78.411000000000001</v>
      </c>
      <c r="G10">
        <v>3.282</v>
      </c>
      <c r="H10">
        <v>100.651</v>
      </c>
      <c r="I10">
        <v>32.137</v>
      </c>
      <c r="J10">
        <v>1E-3</v>
      </c>
      <c r="K10">
        <v>230.10900000000001</v>
      </c>
      <c r="L10">
        <v>0</v>
      </c>
      <c r="M10">
        <v>52.869</v>
      </c>
      <c r="N10">
        <v>0</v>
      </c>
      <c r="O10">
        <v>0.93300000000000005</v>
      </c>
      <c r="P10">
        <v>3.03</v>
      </c>
      <c r="Q10">
        <v>0</v>
      </c>
      <c r="R10">
        <v>58.212000000000003</v>
      </c>
      <c r="S10">
        <v>38.700000000000003</v>
      </c>
      <c r="T10">
        <v>15.5</v>
      </c>
    </row>
    <row r="11" spans="1:21" x14ac:dyDescent="0.3">
      <c r="A11" t="s">
        <v>597</v>
      </c>
      <c r="B11">
        <v>152.53</v>
      </c>
      <c r="C11">
        <v>58.183999999999997</v>
      </c>
      <c r="D11">
        <v>34.31</v>
      </c>
      <c r="E11">
        <v>0.35599999999999998</v>
      </c>
      <c r="F11">
        <v>78.025999999999996</v>
      </c>
      <c r="G11">
        <v>3.3490000000000002</v>
      </c>
      <c r="H11">
        <v>100.851</v>
      </c>
      <c r="I11">
        <v>31.948</v>
      </c>
      <c r="J11">
        <v>0</v>
      </c>
      <c r="K11">
        <v>229.797</v>
      </c>
      <c r="L11">
        <v>0</v>
      </c>
      <c r="M11">
        <v>52.863</v>
      </c>
      <c r="N11">
        <v>0.107</v>
      </c>
      <c r="O11">
        <v>0.89300000000000002</v>
      </c>
      <c r="P11">
        <v>2.9670000000000001</v>
      </c>
      <c r="Q11">
        <v>0</v>
      </c>
      <c r="R11">
        <v>58.204000000000001</v>
      </c>
      <c r="S11">
        <v>38.6</v>
      </c>
      <c r="T11">
        <v>15.5</v>
      </c>
    </row>
    <row r="12" spans="1:21" x14ac:dyDescent="0.3">
      <c r="A12" t="s">
        <v>598</v>
      </c>
      <c r="B12">
        <v>152.76</v>
      </c>
      <c r="C12">
        <v>58.082000000000001</v>
      </c>
      <c r="D12">
        <v>34.264000000000003</v>
      </c>
      <c r="E12">
        <v>0.34200000000000003</v>
      </c>
      <c r="F12">
        <v>77.861999999999995</v>
      </c>
      <c r="G12">
        <v>3.1520000000000001</v>
      </c>
      <c r="H12">
        <v>100.434</v>
      </c>
      <c r="I12">
        <v>32.002000000000002</v>
      </c>
      <c r="J12">
        <v>1E-3</v>
      </c>
      <c r="K12">
        <v>230.125</v>
      </c>
      <c r="L12">
        <v>0</v>
      </c>
      <c r="M12">
        <v>52.865000000000002</v>
      </c>
      <c r="N12">
        <v>8.0000000000000002E-3</v>
      </c>
      <c r="O12">
        <v>0.92900000000000005</v>
      </c>
      <c r="P12">
        <v>3.0209999999999999</v>
      </c>
      <c r="Q12">
        <v>0</v>
      </c>
      <c r="R12">
        <v>58.027999999999999</v>
      </c>
      <c r="S12">
        <v>38.700000000000003</v>
      </c>
      <c r="T12">
        <v>15.5</v>
      </c>
    </row>
    <row r="13" spans="1:21" x14ac:dyDescent="0.3">
      <c r="A13" t="s">
        <v>599</v>
      </c>
      <c r="B13">
        <v>152.49700000000001</v>
      </c>
      <c r="C13">
        <v>58.143999999999998</v>
      </c>
      <c r="D13">
        <v>34.256999999999998</v>
      </c>
      <c r="E13">
        <v>0.35899999999999999</v>
      </c>
      <c r="F13">
        <v>78.656999999999996</v>
      </c>
      <c r="G13">
        <v>3.1139999999999999</v>
      </c>
      <c r="H13">
        <v>100.46599999999999</v>
      </c>
      <c r="I13">
        <v>31.661000000000001</v>
      </c>
      <c r="J13">
        <v>2E-3</v>
      </c>
      <c r="K13">
        <v>229.797</v>
      </c>
      <c r="L13">
        <v>3.0000000000000001E-3</v>
      </c>
      <c r="M13">
        <v>52.932000000000002</v>
      </c>
      <c r="N13">
        <v>0</v>
      </c>
      <c r="O13">
        <v>0.95799999999999996</v>
      </c>
      <c r="P13">
        <v>3.0110000000000001</v>
      </c>
      <c r="Q13">
        <v>0</v>
      </c>
      <c r="R13">
        <v>57.753</v>
      </c>
      <c r="S13">
        <v>38.5</v>
      </c>
      <c r="T13">
        <v>15.5</v>
      </c>
    </row>
    <row r="14" spans="1:21" x14ac:dyDescent="0.3">
      <c r="A14" t="s">
        <v>600</v>
      </c>
      <c r="B14">
        <v>152.44</v>
      </c>
      <c r="C14">
        <v>58.110999999999997</v>
      </c>
      <c r="D14">
        <v>34.247999999999998</v>
      </c>
      <c r="E14">
        <v>0.35899999999999999</v>
      </c>
      <c r="F14">
        <v>77.933999999999997</v>
      </c>
      <c r="G14">
        <v>3.1930000000000001</v>
      </c>
      <c r="H14">
        <v>100.533</v>
      </c>
      <c r="I14">
        <v>31.702000000000002</v>
      </c>
      <c r="J14">
        <v>1E-3</v>
      </c>
      <c r="K14">
        <v>230.125</v>
      </c>
      <c r="L14">
        <v>6.0000000000000001E-3</v>
      </c>
      <c r="M14">
        <v>52.917999999999999</v>
      </c>
      <c r="N14">
        <v>0</v>
      </c>
      <c r="O14">
        <v>0.94</v>
      </c>
      <c r="P14">
        <v>3.036</v>
      </c>
      <c r="Q14">
        <v>0</v>
      </c>
      <c r="R14">
        <v>57.819000000000003</v>
      </c>
      <c r="S14">
        <v>38.700000000000003</v>
      </c>
      <c r="T14">
        <v>15.5</v>
      </c>
    </row>
    <row r="15" spans="1:21" x14ac:dyDescent="0.3">
      <c r="A15" t="s">
        <v>601</v>
      </c>
      <c r="B15">
        <v>152.327</v>
      </c>
      <c r="C15">
        <v>58.104999999999997</v>
      </c>
      <c r="D15">
        <v>34.299999999999997</v>
      </c>
      <c r="E15">
        <v>0.34300000000000003</v>
      </c>
      <c r="F15">
        <v>78.197000000000003</v>
      </c>
      <c r="G15">
        <v>3.3879999999999999</v>
      </c>
      <c r="H15">
        <v>100.812</v>
      </c>
      <c r="I15">
        <v>31.739000000000001</v>
      </c>
      <c r="J15">
        <v>1E-3</v>
      </c>
      <c r="K15">
        <v>229.86199999999999</v>
      </c>
      <c r="L15">
        <v>6.0000000000000001E-3</v>
      </c>
      <c r="M15">
        <v>52.905000000000001</v>
      </c>
      <c r="N15">
        <v>0</v>
      </c>
      <c r="O15">
        <v>0.93899999999999995</v>
      </c>
      <c r="P15">
        <v>3.0310000000000001</v>
      </c>
      <c r="Q15">
        <v>0</v>
      </c>
      <c r="R15">
        <v>58.015000000000001</v>
      </c>
      <c r="S15">
        <v>38.700000000000003</v>
      </c>
      <c r="T15">
        <v>15.5</v>
      </c>
    </row>
    <row r="16" spans="1:21" x14ac:dyDescent="0.3">
      <c r="A16" t="s">
        <v>602</v>
      </c>
      <c r="B16">
        <v>152.261</v>
      </c>
      <c r="C16">
        <v>58.131</v>
      </c>
      <c r="D16">
        <v>34.317</v>
      </c>
      <c r="E16">
        <v>0.34100000000000003</v>
      </c>
      <c r="F16">
        <v>78.94</v>
      </c>
      <c r="G16">
        <v>3.73</v>
      </c>
      <c r="H16">
        <v>100.643</v>
      </c>
      <c r="I16">
        <v>31.821000000000002</v>
      </c>
      <c r="J16">
        <v>1E-3</v>
      </c>
      <c r="K16">
        <v>230.01</v>
      </c>
      <c r="L16">
        <v>6.0000000000000001E-3</v>
      </c>
      <c r="M16">
        <v>52.774000000000001</v>
      </c>
      <c r="N16">
        <v>0</v>
      </c>
      <c r="O16">
        <v>0.94599999999999995</v>
      </c>
      <c r="P16">
        <v>3.0329999999999999</v>
      </c>
      <c r="Q16">
        <v>0</v>
      </c>
      <c r="R16">
        <v>58.152999999999999</v>
      </c>
      <c r="S16">
        <v>38.6</v>
      </c>
      <c r="T16">
        <v>15.5</v>
      </c>
    </row>
    <row r="17" spans="1:20" x14ac:dyDescent="0.3">
      <c r="A17" t="s">
        <v>603</v>
      </c>
      <c r="B17">
        <v>152.52600000000001</v>
      </c>
      <c r="C17">
        <v>58.156999999999996</v>
      </c>
      <c r="D17">
        <v>35.436999999999998</v>
      </c>
      <c r="E17">
        <v>0.34300000000000003</v>
      </c>
      <c r="F17">
        <v>78.453000000000003</v>
      </c>
      <c r="G17">
        <v>3.2930000000000001</v>
      </c>
      <c r="H17">
        <v>100.92100000000001</v>
      </c>
      <c r="I17">
        <v>31.817</v>
      </c>
      <c r="J17">
        <v>1E-3</v>
      </c>
      <c r="K17">
        <v>229.89500000000001</v>
      </c>
      <c r="L17">
        <v>6.0000000000000001E-3</v>
      </c>
      <c r="M17">
        <v>52.834000000000003</v>
      </c>
      <c r="N17">
        <v>0</v>
      </c>
      <c r="O17">
        <v>0.93899999999999995</v>
      </c>
      <c r="P17">
        <v>3.024</v>
      </c>
      <c r="Q17">
        <v>0</v>
      </c>
      <c r="R17">
        <v>58.234000000000002</v>
      </c>
      <c r="S17">
        <v>38.700000000000003</v>
      </c>
      <c r="T17">
        <v>15.5</v>
      </c>
    </row>
    <row r="18" spans="1:20" x14ac:dyDescent="0.3">
      <c r="A18" t="s">
        <v>604</v>
      </c>
      <c r="B18">
        <v>152.667</v>
      </c>
      <c r="C18">
        <v>58.137999999999998</v>
      </c>
      <c r="D18">
        <v>35.357999999999997</v>
      </c>
      <c r="E18">
        <v>0.34599999999999997</v>
      </c>
      <c r="F18">
        <v>78.102000000000004</v>
      </c>
      <c r="G18">
        <v>3.19</v>
      </c>
      <c r="H18">
        <v>100.94</v>
      </c>
      <c r="I18">
        <v>31.324000000000002</v>
      </c>
      <c r="J18">
        <v>1E-3</v>
      </c>
      <c r="K18">
        <v>229.96100000000001</v>
      </c>
      <c r="L18">
        <v>4.0000000000000001E-3</v>
      </c>
      <c r="M18">
        <v>52.82</v>
      </c>
      <c r="N18">
        <v>0</v>
      </c>
      <c r="O18">
        <v>0.93500000000000005</v>
      </c>
      <c r="P18">
        <v>3.0179999999999998</v>
      </c>
      <c r="Q18">
        <v>0</v>
      </c>
      <c r="R18">
        <v>58.27</v>
      </c>
      <c r="S18">
        <v>38.6</v>
      </c>
      <c r="T18">
        <v>15.5</v>
      </c>
    </row>
    <row r="19" spans="1:20" x14ac:dyDescent="0.3">
      <c r="A19" t="s">
        <v>605</v>
      </c>
      <c r="B19">
        <v>152.321</v>
      </c>
      <c r="C19">
        <v>58.154000000000003</v>
      </c>
      <c r="D19">
        <v>35.308999999999997</v>
      </c>
      <c r="E19">
        <v>0.35</v>
      </c>
      <c r="F19">
        <v>78.108000000000004</v>
      </c>
      <c r="G19">
        <v>3.51</v>
      </c>
      <c r="H19">
        <v>100.992</v>
      </c>
      <c r="I19">
        <v>31.422999999999998</v>
      </c>
      <c r="J19">
        <v>0</v>
      </c>
      <c r="K19">
        <v>229.94399999999999</v>
      </c>
      <c r="L19">
        <v>0</v>
      </c>
      <c r="M19">
        <v>52.890999999999998</v>
      </c>
      <c r="N19">
        <v>0</v>
      </c>
      <c r="O19">
        <v>0.92100000000000004</v>
      </c>
      <c r="P19">
        <v>3.036</v>
      </c>
      <c r="Q19">
        <v>0</v>
      </c>
      <c r="R19">
        <v>58.304000000000002</v>
      </c>
      <c r="S19">
        <v>38.700000000000003</v>
      </c>
      <c r="T19">
        <v>15.5</v>
      </c>
    </row>
    <row r="20" spans="1:20" x14ac:dyDescent="0.3">
      <c r="A20" t="s">
        <v>606</v>
      </c>
      <c r="B20">
        <v>152.62100000000001</v>
      </c>
      <c r="C20">
        <v>58.100999999999999</v>
      </c>
      <c r="D20">
        <v>35.207000000000001</v>
      </c>
      <c r="E20">
        <v>0.35799999999999998</v>
      </c>
      <c r="F20">
        <v>77.897999999999996</v>
      </c>
      <c r="G20">
        <v>3.6640000000000001</v>
      </c>
      <c r="H20">
        <v>101.03100000000001</v>
      </c>
      <c r="I20">
        <v>31.623999999999999</v>
      </c>
      <c r="J20">
        <v>0</v>
      </c>
      <c r="K20">
        <v>229.977</v>
      </c>
      <c r="L20">
        <v>5.0000000000000001E-3</v>
      </c>
      <c r="M20">
        <v>52.798000000000002</v>
      </c>
      <c r="N20">
        <v>0</v>
      </c>
      <c r="O20">
        <v>0.93200000000000005</v>
      </c>
      <c r="P20">
        <v>3.0329999999999999</v>
      </c>
      <c r="Q20">
        <v>0</v>
      </c>
      <c r="R20">
        <v>58.328000000000003</v>
      </c>
      <c r="S20">
        <v>38.6</v>
      </c>
      <c r="T20">
        <v>15.5</v>
      </c>
    </row>
    <row r="21" spans="1:20" x14ac:dyDescent="0.3">
      <c r="A21" t="s">
        <v>607</v>
      </c>
      <c r="B21">
        <v>152.36000000000001</v>
      </c>
      <c r="C21">
        <v>58.072000000000003</v>
      </c>
      <c r="D21">
        <v>35.19</v>
      </c>
      <c r="E21">
        <v>0.35199999999999998</v>
      </c>
      <c r="F21">
        <v>78.381</v>
      </c>
      <c r="G21">
        <v>3.3359999999999999</v>
      </c>
      <c r="H21">
        <v>100.934</v>
      </c>
      <c r="I21">
        <v>31.689</v>
      </c>
      <c r="J21">
        <v>1E-3</v>
      </c>
      <c r="K21">
        <v>229.94399999999999</v>
      </c>
      <c r="L21">
        <v>4.0000000000000001E-3</v>
      </c>
      <c r="M21">
        <v>52.887</v>
      </c>
      <c r="N21">
        <v>0</v>
      </c>
      <c r="O21">
        <v>0.93500000000000005</v>
      </c>
      <c r="P21">
        <v>3.036</v>
      </c>
      <c r="Q21">
        <v>0</v>
      </c>
      <c r="R21">
        <v>58.348999999999997</v>
      </c>
      <c r="S21">
        <v>38.6</v>
      </c>
      <c r="T21">
        <v>15.5</v>
      </c>
    </row>
    <row r="22" spans="1:20" x14ac:dyDescent="0.3">
      <c r="A22" t="s">
        <v>608</v>
      </c>
      <c r="B22">
        <v>152.68</v>
      </c>
      <c r="C22">
        <v>58.064999999999998</v>
      </c>
      <c r="D22">
        <v>35.039000000000001</v>
      </c>
      <c r="E22">
        <v>0.33900000000000002</v>
      </c>
      <c r="F22">
        <v>77.716999999999999</v>
      </c>
      <c r="G22">
        <v>3.081</v>
      </c>
      <c r="H22">
        <v>101.054</v>
      </c>
      <c r="I22">
        <v>31.279</v>
      </c>
      <c r="J22">
        <v>2E-3</v>
      </c>
      <c r="K22">
        <v>229.928</v>
      </c>
      <c r="L22">
        <v>6.0000000000000001E-3</v>
      </c>
      <c r="M22">
        <v>52.732999999999997</v>
      </c>
      <c r="N22">
        <v>0</v>
      </c>
      <c r="O22">
        <v>0.92100000000000004</v>
      </c>
      <c r="P22">
        <v>3.008</v>
      </c>
      <c r="Q22">
        <v>0</v>
      </c>
      <c r="R22">
        <v>58.366999999999997</v>
      </c>
      <c r="S22">
        <v>38.700000000000003</v>
      </c>
      <c r="T22">
        <v>15.5</v>
      </c>
    </row>
    <row r="23" spans="1:20" x14ac:dyDescent="0.3">
      <c r="A23" t="s">
        <v>609</v>
      </c>
      <c r="B23">
        <v>152.28100000000001</v>
      </c>
      <c r="C23">
        <v>58.069000000000003</v>
      </c>
      <c r="D23">
        <v>35.029000000000003</v>
      </c>
      <c r="E23">
        <v>0.35099999999999998</v>
      </c>
      <c r="F23">
        <v>78.180999999999997</v>
      </c>
      <c r="G23">
        <v>3.0139999999999998</v>
      </c>
      <c r="H23">
        <v>101.134</v>
      </c>
      <c r="I23">
        <v>31.204999999999998</v>
      </c>
      <c r="J23">
        <v>1E-3</v>
      </c>
      <c r="K23">
        <v>230.04300000000001</v>
      </c>
      <c r="L23">
        <v>8.0000000000000002E-3</v>
      </c>
      <c r="M23">
        <v>52.866999999999997</v>
      </c>
      <c r="N23">
        <v>0</v>
      </c>
      <c r="O23">
        <v>0.94199999999999995</v>
      </c>
      <c r="P23">
        <v>3.03</v>
      </c>
      <c r="Q23">
        <v>0</v>
      </c>
      <c r="R23">
        <v>58.378999999999998</v>
      </c>
      <c r="S23">
        <v>38.5</v>
      </c>
      <c r="T23">
        <v>15.5</v>
      </c>
    </row>
    <row r="24" spans="1:20" x14ac:dyDescent="0.3">
      <c r="A24" t="s">
        <v>610</v>
      </c>
      <c r="B24">
        <v>152.34800000000001</v>
      </c>
      <c r="C24">
        <v>58.137999999999998</v>
      </c>
      <c r="D24">
        <v>35.052</v>
      </c>
      <c r="E24">
        <v>0.33700000000000002</v>
      </c>
      <c r="F24">
        <v>77.927999999999997</v>
      </c>
      <c r="G24">
        <v>3.3130000000000002</v>
      </c>
      <c r="H24">
        <v>101.12</v>
      </c>
      <c r="I24">
        <v>31.308</v>
      </c>
      <c r="J24">
        <v>0</v>
      </c>
      <c r="K24">
        <v>229.928</v>
      </c>
      <c r="L24">
        <v>4.0000000000000001E-3</v>
      </c>
      <c r="M24">
        <v>52.838000000000001</v>
      </c>
      <c r="N24">
        <v>0</v>
      </c>
      <c r="O24">
        <v>0.92600000000000005</v>
      </c>
      <c r="P24">
        <v>3.0489999999999999</v>
      </c>
      <c r="Q24">
        <v>0</v>
      </c>
      <c r="R24">
        <v>58.438000000000002</v>
      </c>
      <c r="S24">
        <v>38.700000000000003</v>
      </c>
      <c r="T24">
        <v>15.5</v>
      </c>
    </row>
    <row r="25" spans="1:20" ht="15" thickBot="1" x14ac:dyDescent="0.35">
      <c r="A25" t="s">
        <v>611</v>
      </c>
      <c r="B25">
        <v>152.51499999999999</v>
      </c>
      <c r="C25">
        <v>58.140999999999998</v>
      </c>
      <c r="D25">
        <v>34.997</v>
      </c>
      <c r="E25">
        <v>0.35099999999999998</v>
      </c>
      <c r="F25">
        <v>77.037000000000006</v>
      </c>
      <c r="G25">
        <v>3.3439999999999999</v>
      </c>
      <c r="H25">
        <v>100.902</v>
      </c>
      <c r="I25">
        <v>31.422999999999998</v>
      </c>
      <c r="J25">
        <v>1E-3</v>
      </c>
      <c r="K25">
        <v>230.01</v>
      </c>
      <c r="L25">
        <v>8.9999999999999993E-3</v>
      </c>
      <c r="M25">
        <v>52.896999999999998</v>
      </c>
      <c r="N25">
        <v>0</v>
      </c>
      <c r="O25">
        <v>0.93899999999999995</v>
      </c>
      <c r="P25">
        <v>3.0169999999999999</v>
      </c>
      <c r="Q25">
        <v>0</v>
      </c>
      <c r="R25">
        <v>58.466999999999999</v>
      </c>
      <c r="S25">
        <v>38.4</v>
      </c>
      <c r="T25">
        <v>15.5</v>
      </c>
    </row>
    <row r="26" spans="1:20" ht="15" thickBot="1" x14ac:dyDescent="0.35">
      <c r="A26" t="s">
        <v>0</v>
      </c>
      <c r="B26" s="1">
        <f t="shared" ref="B26:S26" si="0">AVERAGE(B6:B25)</f>
        <v>152.54849999999999</v>
      </c>
      <c r="C26" s="1">
        <f t="shared" si="0"/>
        <v>58.141599999999997</v>
      </c>
      <c r="D26" s="1">
        <f t="shared" si="0"/>
        <v>34.712900000000005</v>
      </c>
      <c r="E26" s="10">
        <f t="shared" si="0"/>
        <v>0.35089999999999999</v>
      </c>
      <c r="F26" s="1">
        <f t="shared" si="0"/>
        <v>78.090750000000014</v>
      </c>
      <c r="G26" s="1">
        <f t="shared" si="0"/>
        <v>3.33805</v>
      </c>
      <c r="H26" s="10">
        <f t="shared" si="0"/>
        <v>100.82985000000001</v>
      </c>
      <c r="I26" s="1">
        <f t="shared" si="0"/>
        <v>31.748950000000008</v>
      </c>
      <c r="J26" s="8">
        <f t="shared" si="0"/>
        <v>9.0000000000000041E-4</v>
      </c>
      <c r="K26" s="1">
        <f t="shared" si="0"/>
        <v>229.95509999999999</v>
      </c>
      <c r="L26" s="1">
        <f t="shared" si="0"/>
        <v>3.3500000000000001E-3</v>
      </c>
      <c r="M26" s="1">
        <f t="shared" si="0"/>
        <v>52.863499999999988</v>
      </c>
      <c r="N26" s="1">
        <f t="shared" si="0"/>
        <v>5.7499999999999999E-3</v>
      </c>
      <c r="O26" s="1">
        <f t="shared" si="0"/>
        <v>0.9343499999999999</v>
      </c>
      <c r="P26" s="1">
        <f t="shared" si="0"/>
        <v>3.0239500000000006</v>
      </c>
      <c r="Q26" s="1">
        <f t="shared" si="0"/>
        <v>0</v>
      </c>
      <c r="R26" s="1">
        <f t="shared" si="0"/>
        <v>58.188800000000001</v>
      </c>
      <c r="S26" s="1">
        <f t="shared" si="0"/>
        <v>38.615000000000009</v>
      </c>
      <c r="T26" s="8">
        <f>AVERAGE(T6:T25)</f>
        <v>15.5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2.0896000000000008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799F-73A1-41CB-9FD8-68C181AEE7D0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4" sqref="F34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0.47460648148148149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39.973989876451924</v>
      </c>
      <c r="M2" s="8">
        <f>(H26*0.001*60)*(K2/100)*(G2/I2)</f>
        <v>1.7533808311218055</v>
      </c>
      <c r="O2" s="9">
        <f>100*((E26*C2)/((E26*C2)+(M2*E2)))</f>
        <v>14.615416723931052</v>
      </c>
      <c r="Q2" s="10">
        <f>100*J26*(1/(((C2/3.6)*E26)+((E2/3.6)*M2)))</f>
        <v>3.5040896333911825E-3</v>
      </c>
      <c r="S2" s="6">
        <v>3.54</v>
      </c>
      <c r="U2" s="10">
        <f>100*((((G26*0.001*60)*(C26-D26)*(S2/3.6)))/(((C2/3.6)*E26)+((E2/3.6)*M2)))</f>
        <v>15.265223462547805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612</v>
      </c>
      <c r="B6">
        <v>151.36000000000001</v>
      </c>
      <c r="C6">
        <v>58.100999999999999</v>
      </c>
      <c r="D6">
        <v>35.548000000000002</v>
      </c>
      <c r="E6">
        <v>0.33500000000000002</v>
      </c>
      <c r="F6">
        <v>78.122</v>
      </c>
      <c r="G6">
        <v>3.2469999999999999</v>
      </c>
      <c r="H6">
        <v>101.94199999999999</v>
      </c>
      <c r="I6">
        <v>30.507000000000001</v>
      </c>
      <c r="J6">
        <v>0</v>
      </c>
      <c r="K6">
        <v>229.714</v>
      </c>
      <c r="L6">
        <v>5.0000000000000001E-3</v>
      </c>
      <c r="M6">
        <v>52.856999999999999</v>
      </c>
      <c r="N6">
        <v>0</v>
      </c>
      <c r="O6">
        <v>0.95499999999999996</v>
      </c>
      <c r="P6">
        <v>3.01</v>
      </c>
      <c r="Q6">
        <v>0</v>
      </c>
      <c r="R6">
        <v>58.67</v>
      </c>
      <c r="S6">
        <v>39.200000000000003</v>
      </c>
      <c r="T6">
        <v>16</v>
      </c>
    </row>
    <row r="7" spans="1:21" x14ac:dyDescent="0.3">
      <c r="A7" t="s">
        <v>613</v>
      </c>
      <c r="B7">
        <v>151.78299999999999</v>
      </c>
      <c r="C7">
        <v>58.064999999999998</v>
      </c>
      <c r="D7">
        <v>35.509</v>
      </c>
      <c r="E7">
        <v>0.32700000000000001</v>
      </c>
      <c r="F7">
        <v>78.391000000000005</v>
      </c>
      <c r="G7">
        <v>3.1989999999999998</v>
      </c>
      <c r="H7">
        <v>102.217</v>
      </c>
      <c r="I7">
        <v>30.678999999999998</v>
      </c>
      <c r="J7">
        <v>1E-3</v>
      </c>
      <c r="K7">
        <v>230.09200000000001</v>
      </c>
      <c r="L7">
        <v>3.0000000000000001E-3</v>
      </c>
      <c r="M7">
        <v>52.860999999999997</v>
      </c>
      <c r="N7">
        <v>0</v>
      </c>
      <c r="O7">
        <v>0.95199999999999996</v>
      </c>
      <c r="P7">
        <v>3.0030000000000001</v>
      </c>
      <c r="Q7">
        <v>0</v>
      </c>
      <c r="R7">
        <v>58.713999999999999</v>
      </c>
      <c r="S7">
        <v>39.299999999999997</v>
      </c>
      <c r="T7">
        <v>16</v>
      </c>
    </row>
    <row r="8" spans="1:21" x14ac:dyDescent="0.3">
      <c r="A8" t="s">
        <v>614</v>
      </c>
      <c r="B8">
        <v>151.53</v>
      </c>
      <c r="C8">
        <v>58.137999999999998</v>
      </c>
      <c r="D8">
        <v>35.561999999999998</v>
      </c>
      <c r="E8">
        <v>0.34200000000000003</v>
      </c>
      <c r="F8">
        <v>77.578999999999994</v>
      </c>
      <c r="G8">
        <v>3.375</v>
      </c>
      <c r="H8">
        <v>102.33</v>
      </c>
      <c r="I8">
        <v>30.901</v>
      </c>
      <c r="J8">
        <v>2E-3</v>
      </c>
      <c r="K8">
        <v>230.01</v>
      </c>
      <c r="L8">
        <v>4.0000000000000001E-3</v>
      </c>
      <c r="M8">
        <v>52.856999999999999</v>
      </c>
      <c r="N8">
        <v>0</v>
      </c>
      <c r="O8">
        <v>0.92700000000000005</v>
      </c>
      <c r="P8">
        <v>3.004</v>
      </c>
      <c r="Q8">
        <v>0</v>
      </c>
      <c r="R8">
        <v>58.747</v>
      </c>
      <c r="S8">
        <v>39.200000000000003</v>
      </c>
      <c r="T8">
        <v>16</v>
      </c>
    </row>
    <row r="9" spans="1:21" x14ac:dyDescent="0.3">
      <c r="A9" t="s">
        <v>615</v>
      </c>
      <c r="B9">
        <v>151.767</v>
      </c>
      <c r="C9">
        <v>58.052</v>
      </c>
      <c r="D9">
        <v>35.945999999999998</v>
      </c>
      <c r="E9">
        <v>0.36399999999999999</v>
      </c>
      <c r="F9">
        <v>78.587999999999994</v>
      </c>
      <c r="G9">
        <v>3.08</v>
      </c>
      <c r="H9">
        <v>102.22199999999999</v>
      </c>
      <c r="I9">
        <v>30.263999999999999</v>
      </c>
      <c r="J9">
        <v>2E-3</v>
      </c>
      <c r="K9">
        <v>230.01</v>
      </c>
      <c r="L9">
        <v>3.0000000000000001E-3</v>
      </c>
      <c r="M9">
        <v>52.884999999999998</v>
      </c>
      <c r="N9">
        <v>0</v>
      </c>
      <c r="O9">
        <v>0.93</v>
      </c>
      <c r="P9">
        <v>3.0059999999999998</v>
      </c>
      <c r="Q9">
        <v>0</v>
      </c>
      <c r="R9">
        <v>58.761000000000003</v>
      </c>
      <c r="S9">
        <v>39.200000000000003</v>
      </c>
      <c r="T9">
        <v>16</v>
      </c>
    </row>
    <row r="10" spans="1:21" x14ac:dyDescent="0.3">
      <c r="A10" t="s">
        <v>616</v>
      </c>
      <c r="B10">
        <v>151.32900000000001</v>
      </c>
      <c r="C10">
        <v>58.091999999999999</v>
      </c>
      <c r="D10">
        <v>35.863999999999997</v>
      </c>
      <c r="E10">
        <v>0.35699999999999998</v>
      </c>
      <c r="F10">
        <v>78.105000000000004</v>
      </c>
      <c r="G10">
        <v>3.3570000000000002</v>
      </c>
      <c r="H10">
        <v>102.125</v>
      </c>
      <c r="I10">
        <v>30.297000000000001</v>
      </c>
      <c r="J10">
        <v>2E-3</v>
      </c>
      <c r="K10">
        <v>229.977</v>
      </c>
      <c r="L10">
        <v>5.0000000000000001E-3</v>
      </c>
      <c r="M10">
        <v>52.834000000000003</v>
      </c>
      <c r="N10">
        <v>0</v>
      </c>
      <c r="O10">
        <v>0.93799999999999994</v>
      </c>
      <c r="P10">
        <v>2.9969999999999999</v>
      </c>
      <c r="Q10">
        <v>0</v>
      </c>
      <c r="R10">
        <v>58.762999999999998</v>
      </c>
      <c r="S10">
        <v>39.299999999999997</v>
      </c>
      <c r="T10">
        <v>16</v>
      </c>
    </row>
    <row r="11" spans="1:21" x14ac:dyDescent="0.3">
      <c r="A11" t="s">
        <v>617</v>
      </c>
      <c r="B11">
        <v>151.41300000000001</v>
      </c>
      <c r="C11">
        <v>58.078000000000003</v>
      </c>
      <c r="D11">
        <v>35.798000000000002</v>
      </c>
      <c r="E11">
        <v>0.35299999999999998</v>
      </c>
      <c r="F11">
        <v>79.058000000000007</v>
      </c>
      <c r="G11">
        <v>3.4849999999999999</v>
      </c>
      <c r="H11">
        <v>102.371</v>
      </c>
      <c r="I11">
        <v>30.300999999999998</v>
      </c>
      <c r="J11">
        <v>1E-3</v>
      </c>
      <c r="K11">
        <v>229.91200000000001</v>
      </c>
      <c r="L11">
        <v>4.0000000000000001E-3</v>
      </c>
      <c r="M11">
        <v>52.96</v>
      </c>
      <c r="N11">
        <v>0</v>
      </c>
      <c r="O11">
        <v>0.94899999999999995</v>
      </c>
      <c r="P11">
        <v>3.0129999999999999</v>
      </c>
      <c r="Q11">
        <v>0</v>
      </c>
      <c r="R11">
        <v>58.793999999999997</v>
      </c>
      <c r="S11">
        <v>39.200000000000003</v>
      </c>
      <c r="T11">
        <v>16</v>
      </c>
    </row>
    <row r="12" spans="1:21" x14ac:dyDescent="0.3">
      <c r="A12" t="s">
        <v>618</v>
      </c>
      <c r="B12">
        <v>151.68799999999999</v>
      </c>
      <c r="C12">
        <v>58.094999999999999</v>
      </c>
      <c r="D12">
        <v>35.784999999999997</v>
      </c>
      <c r="E12">
        <v>0.36699999999999999</v>
      </c>
      <c r="F12">
        <v>77.332999999999998</v>
      </c>
      <c r="G12">
        <v>2.6659999999999999</v>
      </c>
      <c r="H12">
        <v>103.023</v>
      </c>
      <c r="I12">
        <v>31.065000000000001</v>
      </c>
      <c r="J12">
        <v>0</v>
      </c>
      <c r="K12">
        <v>230.04300000000001</v>
      </c>
      <c r="L12">
        <v>4.0000000000000001E-3</v>
      </c>
      <c r="M12">
        <v>52.832000000000001</v>
      </c>
      <c r="N12">
        <v>0</v>
      </c>
      <c r="O12">
        <v>0.93899999999999995</v>
      </c>
      <c r="P12">
        <v>3.024</v>
      </c>
      <c r="Q12">
        <v>0</v>
      </c>
      <c r="R12">
        <v>58.798999999999999</v>
      </c>
      <c r="S12">
        <v>39.200000000000003</v>
      </c>
      <c r="T12">
        <v>16</v>
      </c>
    </row>
    <row r="13" spans="1:21" x14ac:dyDescent="0.3">
      <c r="A13" t="s">
        <v>619</v>
      </c>
      <c r="B13">
        <v>151.29599999999999</v>
      </c>
      <c r="C13">
        <v>58.064999999999998</v>
      </c>
      <c r="D13">
        <v>35.692999999999998</v>
      </c>
      <c r="E13">
        <v>0.36199999999999999</v>
      </c>
      <c r="F13">
        <v>78.341999999999999</v>
      </c>
      <c r="G13">
        <v>3.38</v>
      </c>
      <c r="H13">
        <v>102.34</v>
      </c>
      <c r="I13">
        <v>30.350999999999999</v>
      </c>
      <c r="J13">
        <v>1E-3</v>
      </c>
      <c r="K13">
        <v>230.04300000000001</v>
      </c>
      <c r="L13">
        <v>3.0000000000000001E-3</v>
      </c>
      <c r="M13">
        <v>52.82</v>
      </c>
      <c r="N13">
        <v>0</v>
      </c>
      <c r="O13">
        <v>0.93899999999999995</v>
      </c>
      <c r="P13">
        <v>3.0150000000000001</v>
      </c>
      <c r="Q13">
        <v>0</v>
      </c>
      <c r="R13">
        <v>58.853000000000002</v>
      </c>
      <c r="S13">
        <v>39.200000000000003</v>
      </c>
      <c r="T13">
        <v>16</v>
      </c>
    </row>
    <row r="14" spans="1:21" x14ac:dyDescent="0.3">
      <c r="A14" t="s">
        <v>620</v>
      </c>
      <c r="B14">
        <v>151.542</v>
      </c>
      <c r="C14">
        <v>58.052</v>
      </c>
      <c r="D14">
        <v>35.673000000000002</v>
      </c>
      <c r="E14">
        <v>0.36799999999999999</v>
      </c>
      <c r="F14">
        <v>77.524000000000001</v>
      </c>
      <c r="G14">
        <v>3.3130000000000002</v>
      </c>
      <c r="H14">
        <v>102.26600000000001</v>
      </c>
      <c r="I14">
        <v>30.363</v>
      </c>
      <c r="J14">
        <v>2E-3</v>
      </c>
      <c r="K14">
        <v>229.82900000000001</v>
      </c>
      <c r="L14">
        <v>2E-3</v>
      </c>
      <c r="M14">
        <v>52.81</v>
      </c>
      <c r="N14">
        <v>0</v>
      </c>
      <c r="O14">
        <v>0.92600000000000005</v>
      </c>
      <c r="P14">
        <v>3.032</v>
      </c>
      <c r="Q14">
        <v>0</v>
      </c>
      <c r="R14">
        <v>58.866999999999997</v>
      </c>
      <c r="S14">
        <v>39.200000000000003</v>
      </c>
      <c r="T14">
        <v>16</v>
      </c>
    </row>
    <row r="15" spans="1:21" x14ac:dyDescent="0.3">
      <c r="A15" t="s">
        <v>621</v>
      </c>
      <c r="B15">
        <v>151.44800000000001</v>
      </c>
      <c r="C15">
        <v>58.154000000000003</v>
      </c>
      <c r="D15">
        <v>35.683</v>
      </c>
      <c r="E15">
        <v>0.33900000000000002</v>
      </c>
      <c r="F15">
        <v>78.459999999999994</v>
      </c>
      <c r="G15">
        <v>3.4820000000000002</v>
      </c>
      <c r="H15">
        <v>102.381</v>
      </c>
      <c r="I15">
        <v>30.375</v>
      </c>
      <c r="J15">
        <v>1E-3</v>
      </c>
      <c r="K15">
        <v>230.059</v>
      </c>
      <c r="L15">
        <v>2E-3</v>
      </c>
      <c r="M15">
        <v>52.889000000000003</v>
      </c>
      <c r="N15">
        <v>0</v>
      </c>
      <c r="O15">
        <v>0.93</v>
      </c>
      <c r="P15">
        <v>2.996</v>
      </c>
      <c r="Q15">
        <v>0</v>
      </c>
      <c r="R15">
        <v>58.87</v>
      </c>
      <c r="S15">
        <v>39.1</v>
      </c>
      <c r="T15">
        <v>16</v>
      </c>
    </row>
    <row r="16" spans="1:21" x14ac:dyDescent="0.3">
      <c r="A16" t="s">
        <v>622</v>
      </c>
      <c r="B16">
        <v>151.602</v>
      </c>
      <c r="C16">
        <v>58.186999999999998</v>
      </c>
      <c r="D16">
        <v>35.765000000000001</v>
      </c>
      <c r="E16">
        <v>0.34699999999999998</v>
      </c>
      <c r="F16">
        <v>77.555999999999997</v>
      </c>
      <c r="G16">
        <v>3.2669999999999999</v>
      </c>
      <c r="H16">
        <v>102.36799999999999</v>
      </c>
      <c r="I16">
        <v>30.486000000000001</v>
      </c>
      <c r="J16">
        <v>1E-3</v>
      </c>
      <c r="K16">
        <v>229.846</v>
      </c>
      <c r="L16">
        <v>3.0000000000000001E-3</v>
      </c>
      <c r="M16">
        <v>52.902999999999999</v>
      </c>
      <c r="N16">
        <v>0</v>
      </c>
      <c r="O16">
        <v>0.94099999999999995</v>
      </c>
      <c r="P16">
        <v>2.9910000000000001</v>
      </c>
      <c r="Q16">
        <v>0</v>
      </c>
      <c r="R16">
        <v>58.874000000000002</v>
      </c>
      <c r="S16">
        <v>39.200000000000003</v>
      </c>
      <c r="T16">
        <v>16</v>
      </c>
    </row>
    <row r="17" spans="1:20" x14ac:dyDescent="0.3">
      <c r="A17" t="s">
        <v>623</v>
      </c>
      <c r="B17">
        <v>151.26599999999999</v>
      </c>
      <c r="C17">
        <v>58.164000000000001</v>
      </c>
      <c r="D17">
        <v>35.838000000000001</v>
      </c>
      <c r="E17">
        <v>0.36799999999999999</v>
      </c>
      <c r="F17">
        <v>79.146000000000001</v>
      </c>
      <c r="G17">
        <v>3.4609999999999999</v>
      </c>
      <c r="H17">
        <v>102.337</v>
      </c>
      <c r="I17">
        <v>30.564</v>
      </c>
      <c r="J17">
        <v>1E-3</v>
      </c>
      <c r="K17">
        <v>230.059</v>
      </c>
      <c r="L17">
        <v>1E-3</v>
      </c>
      <c r="M17">
        <v>52.890999999999998</v>
      </c>
      <c r="N17">
        <v>0</v>
      </c>
      <c r="O17">
        <v>0.94199999999999995</v>
      </c>
      <c r="P17">
        <v>3.0129999999999999</v>
      </c>
      <c r="Q17">
        <v>0</v>
      </c>
      <c r="R17">
        <v>58.881</v>
      </c>
      <c r="S17">
        <v>39.200000000000003</v>
      </c>
      <c r="T17">
        <v>16</v>
      </c>
    </row>
    <row r="18" spans="1:20" x14ac:dyDescent="0.3">
      <c r="A18" t="s">
        <v>624</v>
      </c>
      <c r="B18">
        <v>151.297</v>
      </c>
      <c r="C18">
        <v>58.058999999999997</v>
      </c>
      <c r="D18">
        <v>35.850999999999999</v>
      </c>
      <c r="E18">
        <v>0.37</v>
      </c>
      <c r="F18">
        <v>78.305000000000007</v>
      </c>
      <c r="G18">
        <v>3.2909999999999999</v>
      </c>
      <c r="H18">
        <v>102.322</v>
      </c>
      <c r="I18">
        <v>30.605</v>
      </c>
      <c r="J18">
        <v>0</v>
      </c>
      <c r="K18">
        <v>230.02699999999999</v>
      </c>
      <c r="L18">
        <v>0</v>
      </c>
      <c r="M18">
        <v>52.860999999999997</v>
      </c>
      <c r="N18">
        <v>0</v>
      </c>
      <c r="O18">
        <v>0.94599999999999995</v>
      </c>
      <c r="P18">
        <v>3.032</v>
      </c>
      <c r="Q18">
        <v>0</v>
      </c>
      <c r="R18">
        <v>58.898000000000003</v>
      </c>
      <c r="S18">
        <v>39.200000000000003</v>
      </c>
      <c r="T18">
        <v>16</v>
      </c>
    </row>
    <row r="19" spans="1:20" x14ac:dyDescent="0.3">
      <c r="A19" t="s">
        <v>625</v>
      </c>
      <c r="B19">
        <v>151.05699999999999</v>
      </c>
      <c r="C19">
        <v>58.064999999999998</v>
      </c>
      <c r="D19">
        <v>35.722999999999999</v>
      </c>
      <c r="E19">
        <v>0.36299999999999999</v>
      </c>
      <c r="F19">
        <v>78.388000000000005</v>
      </c>
      <c r="G19">
        <v>3.1850000000000001</v>
      </c>
      <c r="H19">
        <v>102.40600000000001</v>
      </c>
      <c r="I19">
        <v>30.396000000000001</v>
      </c>
      <c r="J19">
        <v>1E-3</v>
      </c>
      <c r="K19">
        <v>230.07599999999999</v>
      </c>
      <c r="L19">
        <v>2E-3</v>
      </c>
      <c r="M19">
        <v>52.917999999999999</v>
      </c>
      <c r="N19">
        <v>0</v>
      </c>
      <c r="O19">
        <v>0.94599999999999995</v>
      </c>
      <c r="P19">
        <v>3.0190000000000001</v>
      </c>
      <c r="Q19">
        <v>0</v>
      </c>
      <c r="R19">
        <v>58.905000000000001</v>
      </c>
      <c r="S19">
        <v>39.200000000000003</v>
      </c>
      <c r="T19">
        <v>16</v>
      </c>
    </row>
    <row r="20" spans="1:20" x14ac:dyDescent="0.3">
      <c r="A20" t="s">
        <v>626</v>
      </c>
      <c r="B20">
        <v>151.28700000000001</v>
      </c>
      <c r="C20">
        <v>58.085000000000001</v>
      </c>
      <c r="D20">
        <v>35.65</v>
      </c>
      <c r="E20">
        <v>0.34399999999999997</v>
      </c>
      <c r="F20">
        <v>78.296000000000006</v>
      </c>
      <c r="G20">
        <v>3.5030000000000001</v>
      </c>
      <c r="H20">
        <v>102.45099999999999</v>
      </c>
      <c r="I20">
        <v>30.231999999999999</v>
      </c>
      <c r="J20">
        <v>1E-3</v>
      </c>
      <c r="K20">
        <v>230.01</v>
      </c>
      <c r="L20">
        <v>3.0000000000000001E-3</v>
      </c>
      <c r="M20">
        <v>52.853000000000002</v>
      </c>
      <c r="N20">
        <v>0</v>
      </c>
      <c r="O20">
        <v>0.93200000000000005</v>
      </c>
      <c r="P20">
        <v>3.0339999999999998</v>
      </c>
      <c r="Q20">
        <v>0</v>
      </c>
      <c r="R20">
        <v>58.904000000000003</v>
      </c>
      <c r="S20">
        <v>39.200000000000003</v>
      </c>
      <c r="T20">
        <v>16</v>
      </c>
    </row>
    <row r="21" spans="1:20" x14ac:dyDescent="0.3">
      <c r="A21" t="s">
        <v>627</v>
      </c>
      <c r="B21">
        <v>151.31100000000001</v>
      </c>
      <c r="C21">
        <v>58.052</v>
      </c>
      <c r="D21">
        <v>35.521999999999998</v>
      </c>
      <c r="E21">
        <v>0.32800000000000001</v>
      </c>
      <c r="F21">
        <v>78.052999999999997</v>
      </c>
      <c r="G21">
        <v>3.36</v>
      </c>
      <c r="H21">
        <v>102.379</v>
      </c>
      <c r="I21">
        <v>29.998000000000001</v>
      </c>
      <c r="J21">
        <v>1E-3</v>
      </c>
      <c r="K21">
        <v>229.928</v>
      </c>
      <c r="L21">
        <v>2E-3</v>
      </c>
      <c r="M21">
        <v>52.832000000000001</v>
      </c>
      <c r="N21">
        <v>0</v>
      </c>
      <c r="O21">
        <v>0.92200000000000004</v>
      </c>
      <c r="P21">
        <v>3.0139999999999998</v>
      </c>
      <c r="Q21">
        <v>0</v>
      </c>
      <c r="R21">
        <v>58.927999999999997</v>
      </c>
      <c r="S21">
        <v>39.1</v>
      </c>
      <c r="T21">
        <v>16</v>
      </c>
    </row>
    <row r="22" spans="1:20" x14ac:dyDescent="0.3">
      <c r="A22" t="s">
        <v>628</v>
      </c>
      <c r="B22">
        <v>151.27000000000001</v>
      </c>
      <c r="C22">
        <v>58.018999999999998</v>
      </c>
      <c r="D22">
        <v>35.406999999999996</v>
      </c>
      <c r="E22">
        <v>0.33800000000000002</v>
      </c>
      <c r="F22">
        <v>78.555000000000007</v>
      </c>
      <c r="G22">
        <v>3.306</v>
      </c>
      <c r="H22">
        <v>102.286</v>
      </c>
      <c r="I22">
        <v>30.178000000000001</v>
      </c>
      <c r="J22">
        <v>1E-3</v>
      </c>
      <c r="K22">
        <v>229.977</v>
      </c>
      <c r="L22">
        <v>0</v>
      </c>
      <c r="M22">
        <v>52.908000000000001</v>
      </c>
      <c r="N22">
        <v>0</v>
      </c>
      <c r="O22">
        <v>0.95099999999999996</v>
      </c>
      <c r="P22">
        <v>3.0049999999999999</v>
      </c>
      <c r="Q22">
        <v>0</v>
      </c>
      <c r="R22">
        <v>58.908999999999999</v>
      </c>
      <c r="S22">
        <v>39.1</v>
      </c>
      <c r="T22">
        <v>16</v>
      </c>
    </row>
    <row r="23" spans="1:20" x14ac:dyDescent="0.3">
      <c r="A23" t="s">
        <v>629</v>
      </c>
      <c r="B23">
        <v>151.209</v>
      </c>
      <c r="C23">
        <v>58.131</v>
      </c>
      <c r="D23">
        <v>35.768999999999998</v>
      </c>
      <c r="E23">
        <v>0.35199999999999998</v>
      </c>
      <c r="F23">
        <v>77.921000000000006</v>
      </c>
      <c r="G23">
        <v>3.3519999999999999</v>
      </c>
      <c r="H23">
        <v>102.47799999999999</v>
      </c>
      <c r="I23">
        <v>30.318000000000001</v>
      </c>
      <c r="J23">
        <v>1E-3</v>
      </c>
      <c r="K23">
        <v>229.86199999999999</v>
      </c>
      <c r="L23">
        <v>0</v>
      </c>
      <c r="M23">
        <v>52.854999999999997</v>
      </c>
      <c r="N23">
        <v>0</v>
      </c>
      <c r="O23">
        <v>0.95099999999999996</v>
      </c>
      <c r="P23">
        <v>3.0249999999999999</v>
      </c>
      <c r="Q23">
        <v>0</v>
      </c>
      <c r="R23">
        <v>58.924999999999997</v>
      </c>
      <c r="S23">
        <v>39.1</v>
      </c>
      <c r="T23">
        <v>16</v>
      </c>
    </row>
    <row r="24" spans="1:20" x14ac:dyDescent="0.3">
      <c r="A24" t="s">
        <v>630</v>
      </c>
      <c r="B24">
        <v>151.297</v>
      </c>
      <c r="C24">
        <v>58.069000000000003</v>
      </c>
      <c r="D24">
        <v>35.561999999999998</v>
      </c>
      <c r="E24">
        <v>0.36199999999999999</v>
      </c>
      <c r="F24">
        <v>77.885000000000005</v>
      </c>
      <c r="G24">
        <v>3.3620000000000001</v>
      </c>
      <c r="H24">
        <v>102.36199999999999</v>
      </c>
      <c r="I24">
        <v>30.268999999999998</v>
      </c>
      <c r="J24">
        <v>1E-3</v>
      </c>
      <c r="K24">
        <v>230.04300000000001</v>
      </c>
      <c r="L24">
        <v>0</v>
      </c>
      <c r="M24">
        <v>52.850999999999999</v>
      </c>
      <c r="N24">
        <v>0</v>
      </c>
      <c r="O24">
        <v>0.95399999999999996</v>
      </c>
      <c r="P24">
        <v>3.0049999999999999</v>
      </c>
      <c r="Q24">
        <v>0</v>
      </c>
      <c r="R24">
        <v>58.96</v>
      </c>
      <c r="S24">
        <v>39.200000000000003</v>
      </c>
      <c r="T24">
        <v>16</v>
      </c>
    </row>
    <row r="25" spans="1:20" ht="15" thickBot="1" x14ac:dyDescent="0.35">
      <c r="A25" t="s">
        <v>631</v>
      </c>
      <c r="B25">
        <v>151.27199999999999</v>
      </c>
      <c r="C25">
        <v>58.140999999999998</v>
      </c>
      <c r="D25">
        <v>35.64</v>
      </c>
      <c r="E25">
        <v>0.34699999999999998</v>
      </c>
      <c r="F25">
        <v>78.45</v>
      </c>
      <c r="G25">
        <v>3.2440000000000002</v>
      </c>
      <c r="H25">
        <v>102.336</v>
      </c>
      <c r="I25">
        <v>30.527000000000001</v>
      </c>
      <c r="J25">
        <v>0</v>
      </c>
      <c r="K25">
        <v>229.74700000000001</v>
      </c>
      <c r="L25">
        <v>8.7999999999999995E-2</v>
      </c>
      <c r="M25">
        <v>52.887</v>
      </c>
      <c r="N25">
        <v>0</v>
      </c>
      <c r="O25">
        <v>0.91600000000000004</v>
      </c>
      <c r="P25">
        <v>3.008</v>
      </c>
      <c r="Q25">
        <v>0</v>
      </c>
      <c r="R25">
        <v>58.953000000000003</v>
      </c>
      <c r="S25">
        <v>39.200000000000003</v>
      </c>
      <c r="T25">
        <v>16</v>
      </c>
    </row>
    <row r="26" spans="1:20" ht="15" thickBot="1" x14ac:dyDescent="0.35">
      <c r="A26" t="s">
        <v>0</v>
      </c>
      <c r="B26" s="1">
        <f t="shared" ref="B26:S26" si="0">AVERAGE(B6:B25)</f>
        <v>151.40119999999999</v>
      </c>
      <c r="C26" s="1">
        <f t="shared" si="0"/>
        <v>58.093200000000003</v>
      </c>
      <c r="D26" s="1">
        <f t="shared" si="0"/>
        <v>35.689400000000006</v>
      </c>
      <c r="E26" s="10">
        <f t="shared" si="0"/>
        <v>0.35165000000000007</v>
      </c>
      <c r="F26" s="1">
        <f t="shared" si="0"/>
        <v>78.202850000000012</v>
      </c>
      <c r="G26" s="1">
        <f t="shared" si="0"/>
        <v>3.2957499999999995</v>
      </c>
      <c r="H26" s="10">
        <f t="shared" si="0"/>
        <v>102.34710000000001</v>
      </c>
      <c r="I26" s="1">
        <f t="shared" si="0"/>
        <v>30.433800000000002</v>
      </c>
      <c r="J26" s="8">
        <f t="shared" si="0"/>
        <v>1.0000000000000005E-3</v>
      </c>
      <c r="K26" s="1">
        <f t="shared" si="0"/>
        <v>229.96320000000006</v>
      </c>
      <c r="L26" s="1">
        <f t="shared" si="0"/>
        <v>6.7000000000000002E-3</v>
      </c>
      <c r="M26" s="1">
        <f t="shared" si="0"/>
        <v>52.868199999999987</v>
      </c>
      <c r="N26" s="1">
        <f t="shared" si="0"/>
        <v>0</v>
      </c>
      <c r="O26" s="1">
        <f t="shared" si="0"/>
        <v>0.93930000000000002</v>
      </c>
      <c r="P26" s="1">
        <f t="shared" si="0"/>
        <v>3.0123000000000002</v>
      </c>
      <c r="Q26" s="1">
        <f t="shared" si="0"/>
        <v>0</v>
      </c>
      <c r="R26" s="1">
        <f t="shared" si="0"/>
        <v>58.848749999999995</v>
      </c>
      <c r="S26" s="1">
        <f t="shared" si="0"/>
        <v>39.190000000000012</v>
      </c>
      <c r="T26" s="8">
        <f>AVERAGE(T6:T25)</f>
        <v>16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2.0730000000000004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7930-B063-4607-A30F-06D7D4078FB1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3" sqref="M33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0.47594907407407405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40.038476971736294</v>
      </c>
      <c r="M2" s="8">
        <f>(H26*0.001*60)*(K2/100)*(G2/I2)</f>
        <v>1.9264730546683055</v>
      </c>
      <c r="O2" s="9">
        <f>100*((E26*C2)/((E26*C2)+(M2*E2)))</f>
        <v>14.341138299193313</v>
      </c>
      <c r="Q2" s="10">
        <f>100*J26*(1/(((C2/3.6)*E26)+((E2/3.6)*M2)))</f>
        <v>6.4471412413629423</v>
      </c>
      <c r="S2" s="6">
        <v>3.54</v>
      </c>
      <c r="U2" s="10">
        <f>100*((((G26*0.001*60)*(C26-D26)*(S2/3.6)))/(((C2/3.6)*E26)+((E2/3.6)*M2)))</f>
        <v>15.166473977708847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632</v>
      </c>
      <c r="B6">
        <v>176.667</v>
      </c>
      <c r="C6">
        <v>58.140999999999998</v>
      </c>
      <c r="D6">
        <v>38.021999999999998</v>
      </c>
      <c r="E6">
        <v>0.38100000000000001</v>
      </c>
      <c r="F6">
        <v>79.656000000000006</v>
      </c>
      <c r="G6">
        <v>3.6970000000000001</v>
      </c>
      <c r="H6">
        <v>111.877</v>
      </c>
      <c r="I6">
        <v>29.335999999999999</v>
      </c>
      <c r="J6">
        <v>2.0190000000000001</v>
      </c>
      <c r="K6">
        <v>230.17400000000001</v>
      </c>
      <c r="L6">
        <v>2.9039999999999999</v>
      </c>
      <c r="M6">
        <v>52.774000000000001</v>
      </c>
      <c r="N6">
        <v>2.9470000000000001</v>
      </c>
      <c r="O6">
        <v>0.96499999999999997</v>
      </c>
      <c r="P6">
        <v>2.927</v>
      </c>
      <c r="Q6">
        <v>0</v>
      </c>
      <c r="R6">
        <v>64.244</v>
      </c>
      <c r="S6">
        <v>43.2</v>
      </c>
      <c r="T6">
        <v>19.8</v>
      </c>
    </row>
    <row r="7" spans="1:21" x14ac:dyDescent="0.3">
      <c r="A7" t="s">
        <v>633</v>
      </c>
      <c r="B7">
        <v>177.08500000000001</v>
      </c>
      <c r="C7">
        <v>58.192999999999998</v>
      </c>
      <c r="D7">
        <v>37.957000000000001</v>
      </c>
      <c r="E7">
        <v>0.41799999999999998</v>
      </c>
      <c r="F7">
        <v>77.841999999999999</v>
      </c>
      <c r="G7">
        <v>3.9020000000000001</v>
      </c>
      <c r="H7">
        <v>111.88</v>
      </c>
      <c r="I7">
        <v>29.443000000000001</v>
      </c>
      <c r="J7">
        <v>2.0129999999999999</v>
      </c>
      <c r="K7">
        <v>229.91200000000001</v>
      </c>
      <c r="L7">
        <v>2.9009999999999998</v>
      </c>
      <c r="M7">
        <v>52.734999999999999</v>
      </c>
      <c r="N7">
        <v>2.9409999999999998</v>
      </c>
      <c r="O7">
        <v>0.96299999999999997</v>
      </c>
      <c r="P7">
        <v>2.9380000000000002</v>
      </c>
      <c r="Q7">
        <v>0</v>
      </c>
      <c r="R7">
        <v>64.409000000000006</v>
      </c>
      <c r="S7">
        <v>43.3</v>
      </c>
      <c r="T7">
        <v>19.8</v>
      </c>
    </row>
    <row r="8" spans="1:21" x14ac:dyDescent="0.3">
      <c r="A8" t="s">
        <v>634</v>
      </c>
      <c r="B8">
        <v>177.51499999999999</v>
      </c>
      <c r="C8">
        <v>58.256</v>
      </c>
      <c r="D8">
        <v>37.985999999999997</v>
      </c>
      <c r="E8">
        <v>0.33800000000000002</v>
      </c>
      <c r="F8">
        <v>78.492999999999995</v>
      </c>
      <c r="G8">
        <v>4.1059999999999999</v>
      </c>
      <c r="H8">
        <v>111.928</v>
      </c>
      <c r="I8">
        <v>29.398</v>
      </c>
      <c r="J8">
        <v>2.016</v>
      </c>
      <c r="K8">
        <v>230.25700000000001</v>
      </c>
      <c r="L8">
        <v>2.903</v>
      </c>
      <c r="M8">
        <v>52.731000000000002</v>
      </c>
      <c r="N8">
        <v>2.944</v>
      </c>
      <c r="O8">
        <v>0.96699999999999997</v>
      </c>
      <c r="P8">
        <v>2.94</v>
      </c>
      <c r="Q8">
        <v>0</v>
      </c>
      <c r="R8">
        <v>64.588999999999999</v>
      </c>
      <c r="S8">
        <v>43.3</v>
      </c>
      <c r="T8">
        <v>19.8</v>
      </c>
    </row>
    <row r="9" spans="1:21" x14ac:dyDescent="0.3">
      <c r="A9" t="s">
        <v>635</v>
      </c>
      <c r="B9">
        <v>177.35499999999999</v>
      </c>
      <c r="C9">
        <v>58.151000000000003</v>
      </c>
      <c r="D9">
        <v>37.982999999999997</v>
      </c>
      <c r="E9">
        <v>0.39300000000000002</v>
      </c>
      <c r="F9">
        <v>78.617999999999995</v>
      </c>
      <c r="G9">
        <v>4.0140000000000002</v>
      </c>
      <c r="H9">
        <v>112.30200000000001</v>
      </c>
      <c r="I9">
        <v>29.57</v>
      </c>
      <c r="J9">
        <v>2.016</v>
      </c>
      <c r="K9">
        <v>230.07599999999999</v>
      </c>
      <c r="L9">
        <v>2.903</v>
      </c>
      <c r="M9">
        <v>52.783999999999999</v>
      </c>
      <c r="N9">
        <v>2.9420000000000002</v>
      </c>
      <c r="O9">
        <v>0.94099999999999995</v>
      </c>
      <c r="P9">
        <v>2.9409999999999998</v>
      </c>
      <c r="Q9">
        <v>0</v>
      </c>
      <c r="R9">
        <v>64.706999999999994</v>
      </c>
      <c r="S9">
        <v>43.2</v>
      </c>
      <c r="T9">
        <v>19.8</v>
      </c>
    </row>
    <row r="10" spans="1:21" x14ac:dyDescent="0.3">
      <c r="A10" t="s">
        <v>636</v>
      </c>
      <c r="B10">
        <v>177.40100000000001</v>
      </c>
      <c r="C10">
        <v>58.207000000000001</v>
      </c>
      <c r="D10">
        <v>38.029000000000003</v>
      </c>
      <c r="E10">
        <v>0.40400000000000003</v>
      </c>
      <c r="F10">
        <v>78.578000000000003</v>
      </c>
      <c r="G10">
        <v>3.7709999999999999</v>
      </c>
      <c r="H10">
        <v>112.358</v>
      </c>
      <c r="I10">
        <v>29.521000000000001</v>
      </c>
      <c r="J10">
        <v>2.0139999999999998</v>
      </c>
      <c r="K10">
        <v>230.191</v>
      </c>
      <c r="L10">
        <v>2.8980000000000001</v>
      </c>
      <c r="M10">
        <v>52.634</v>
      </c>
      <c r="N10">
        <v>2.9460000000000002</v>
      </c>
      <c r="O10">
        <v>0.94599999999999995</v>
      </c>
      <c r="P10">
        <v>2.9460000000000002</v>
      </c>
      <c r="Q10">
        <v>0</v>
      </c>
      <c r="R10">
        <v>64.765000000000001</v>
      </c>
      <c r="S10">
        <v>43.2</v>
      </c>
      <c r="T10">
        <v>19.8</v>
      </c>
    </row>
    <row r="11" spans="1:21" x14ac:dyDescent="0.3">
      <c r="A11" t="s">
        <v>637</v>
      </c>
      <c r="B11">
        <v>177.61099999999999</v>
      </c>
      <c r="C11">
        <v>58.197000000000003</v>
      </c>
      <c r="D11">
        <v>38.097999999999999</v>
      </c>
      <c r="E11">
        <v>0.34300000000000003</v>
      </c>
      <c r="F11">
        <v>76.938999999999993</v>
      </c>
      <c r="G11">
        <v>4.9729999999999999</v>
      </c>
      <c r="H11">
        <v>112.328</v>
      </c>
      <c r="I11">
        <v>29.353000000000002</v>
      </c>
      <c r="J11">
        <v>2.0169999999999999</v>
      </c>
      <c r="K11">
        <v>230.125</v>
      </c>
      <c r="L11">
        <v>2.9079999999999999</v>
      </c>
      <c r="M11">
        <v>52.783999999999999</v>
      </c>
      <c r="N11">
        <v>2.9449999999999998</v>
      </c>
      <c r="O11">
        <v>0.93700000000000006</v>
      </c>
      <c r="P11">
        <v>2.9430000000000001</v>
      </c>
      <c r="Q11">
        <v>0</v>
      </c>
      <c r="R11">
        <v>64.822000000000003</v>
      </c>
      <c r="S11">
        <v>43.2</v>
      </c>
      <c r="T11">
        <v>19.8</v>
      </c>
    </row>
    <row r="12" spans="1:21" x14ac:dyDescent="0.3">
      <c r="A12" t="s">
        <v>638</v>
      </c>
      <c r="B12">
        <v>177.316</v>
      </c>
      <c r="C12">
        <v>58.23</v>
      </c>
      <c r="D12">
        <v>38.075000000000003</v>
      </c>
      <c r="E12">
        <v>0.39700000000000002</v>
      </c>
      <c r="F12">
        <v>79.694999999999993</v>
      </c>
      <c r="G12">
        <v>3.8319999999999999</v>
      </c>
      <c r="H12">
        <v>112.15300000000001</v>
      </c>
      <c r="I12">
        <v>29.242000000000001</v>
      </c>
      <c r="J12">
        <v>2.0179999999999998</v>
      </c>
      <c r="K12">
        <v>230.47</v>
      </c>
      <c r="L12">
        <v>2.9060000000000001</v>
      </c>
      <c r="M12">
        <v>52.847000000000001</v>
      </c>
      <c r="N12">
        <v>2.95</v>
      </c>
      <c r="O12">
        <v>0.96699999999999997</v>
      </c>
      <c r="P12">
        <v>2.9260000000000002</v>
      </c>
      <c r="Q12">
        <v>0</v>
      </c>
      <c r="R12">
        <v>64.84</v>
      </c>
      <c r="S12">
        <v>43.2</v>
      </c>
      <c r="T12">
        <v>19.8</v>
      </c>
    </row>
    <row r="13" spans="1:21" x14ac:dyDescent="0.3">
      <c r="A13" t="s">
        <v>639</v>
      </c>
      <c r="B13">
        <v>177.55</v>
      </c>
      <c r="C13">
        <v>58.213000000000001</v>
      </c>
      <c r="D13">
        <v>38.110999999999997</v>
      </c>
      <c r="E13">
        <v>0.40200000000000002</v>
      </c>
      <c r="F13">
        <v>78.843999999999994</v>
      </c>
      <c r="G13">
        <v>4.1210000000000004</v>
      </c>
      <c r="H13">
        <v>112.357</v>
      </c>
      <c r="I13">
        <v>29.497</v>
      </c>
      <c r="J13">
        <v>2.0139999999999998</v>
      </c>
      <c r="K13">
        <v>230.01</v>
      </c>
      <c r="L13">
        <v>2.907</v>
      </c>
      <c r="M13">
        <v>52.69</v>
      </c>
      <c r="N13">
        <v>2.9569999999999999</v>
      </c>
      <c r="O13">
        <v>0.96499999999999997</v>
      </c>
      <c r="P13">
        <v>2.9340000000000002</v>
      </c>
      <c r="Q13">
        <v>0</v>
      </c>
      <c r="R13">
        <v>64.887</v>
      </c>
      <c r="S13">
        <v>43.2</v>
      </c>
      <c r="T13">
        <v>19.8</v>
      </c>
    </row>
    <row r="14" spans="1:21" x14ac:dyDescent="0.3">
      <c r="A14" t="s">
        <v>640</v>
      </c>
      <c r="B14">
        <v>177.89400000000001</v>
      </c>
      <c r="C14">
        <v>58.161000000000001</v>
      </c>
      <c r="D14">
        <v>38.140999999999998</v>
      </c>
      <c r="E14">
        <v>0.35699999999999998</v>
      </c>
      <c r="F14">
        <v>79.168999999999997</v>
      </c>
      <c r="G14">
        <v>4.1959999999999997</v>
      </c>
      <c r="H14">
        <v>112.467</v>
      </c>
      <c r="I14">
        <v>29.341000000000001</v>
      </c>
      <c r="J14">
        <v>2.0169999999999999</v>
      </c>
      <c r="K14">
        <v>230.30600000000001</v>
      </c>
      <c r="L14">
        <v>2.8980000000000001</v>
      </c>
      <c r="M14">
        <v>52.69</v>
      </c>
      <c r="N14">
        <v>2.9489999999999998</v>
      </c>
      <c r="O14">
        <v>0.95399999999999996</v>
      </c>
      <c r="P14">
        <v>2.9319999999999999</v>
      </c>
      <c r="Q14">
        <v>0</v>
      </c>
      <c r="R14">
        <v>64.944999999999993</v>
      </c>
      <c r="S14">
        <v>43.3</v>
      </c>
      <c r="T14">
        <v>19.8</v>
      </c>
    </row>
    <row r="15" spans="1:21" x14ac:dyDescent="0.3">
      <c r="A15" t="s">
        <v>641</v>
      </c>
      <c r="B15">
        <v>177.51300000000001</v>
      </c>
      <c r="C15">
        <v>58.21</v>
      </c>
      <c r="D15">
        <v>38.314999999999998</v>
      </c>
      <c r="E15">
        <v>0.34100000000000003</v>
      </c>
      <c r="F15">
        <v>77.179000000000002</v>
      </c>
      <c r="G15">
        <v>3.8610000000000002</v>
      </c>
      <c r="H15">
        <v>112.541</v>
      </c>
      <c r="I15">
        <v>29.356999999999999</v>
      </c>
      <c r="J15">
        <v>2.0129999999999999</v>
      </c>
      <c r="K15">
        <v>230.09200000000001</v>
      </c>
      <c r="L15">
        <v>2.9049999999999998</v>
      </c>
      <c r="M15">
        <v>52.665999999999997</v>
      </c>
      <c r="N15">
        <v>2.9409999999999998</v>
      </c>
      <c r="O15">
        <v>0.96499999999999997</v>
      </c>
      <c r="P15">
        <v>2.9329999999999998</v>
      </c>
      <c r="Q15">
        <v>0</v>
      </c>
      <c r="R15">
        <v>65.025000000000006</v>
      </c>
      <c r="S15">
        <v>43.3</v>
      </c>
      <c r="T15">
        <v>19.8</v>
      </c>
    </row>
    <row r="16" spans="1:21" x14ac:dyDescent="0.3">
      <c r="A16" t="s">
        <v>642</v>
      </c>
      <c r="B16">
        <v>177.41200000000001</v>
      </c>
      <c r="C16">
        <v>58.183999999999997</v>
      </c>
      <c r="D16">
        <v>38.366999999999997</v>
      </c>
      <c r="E16">
        <v>0.38600000000000001</v>
      </c>
      <c r="F16">
        <v>79.304000000000002</v>
      </c>
      <c r="G16">
        <v>3.7410000000000001</v>
      </c>
      <c r="H16">
        <v>112.61499999999999</v>
      </c>
      <c r="I16">
        <v>29.361000000000001</v>
      </c>
      <c r="J16">
        <v>2.0129999999999999</v>
      </c>
      <c r="K16">
        <v>230.04300000000001</v>
      </c>
      <c r="L16">
        <v>2.8980000000000001</v>
      </c>
      <c r="M16">
        <v>52.786000000000001</v>
      </c>
      <c r="N16">
        <v>2.9449999999999998</v>
      </c>
      <c r="O16">
        <v>0.94699999999999995</v>
      </c>
      <c r="P16">
        <v>2.9409999999999998</v>
      </c>
      <c r="Q16">
        <v>0</v>
      </c>
      <c r="R16">
        <v>65.075000000000003</v>
      </c>
      <c r="S16">
        <v>43.2</v>
      </c>
      <c r="T16">
        <v>19.8</v>
      </c>
    </row>
    <row r="17" spans="1:20" x14ac:dyDescent="0.3">
      <c r="A17" t="s">
        <v>643</v>
      </c>
      <c r="B17">
        <v>177.964</v>
      </c>
      <c r="C17">
        <v>58.23</v>
      </c>
      <c r="D17">
        <v>38.43</v>
      </c>
      <c r="E17">
        <v>0.39400000000000002</v>
      </c>
      <c r="F17">
        <v>78.664000000000001</v>
      </c>
      <c r="G17">
        <v>3.855</v>
      </c>
      <c r="H17">
        <v>112.453</v>
      </c>
      <c r="I17">
        <v>29.414000000000001</v>
      </c>
      <c r="J17">
        <v>2.012</v>
      </c>
      <c r="K17">
        <v>229.81299999999999</v>
      </c>
      <c r="L17">
        <v>2.8980000000000001</v>
      </c>
      <c r="M17">
        <v>52.698</v>
      </c>
      <c r="N17">
        <v>2.9430000000000001</v>
      </c>
      <c r="O17">
        <v>0.97399999999999998</v>
      </c>
      <c r="P17">
        <v>2.919</v>
      </c>
      <c r="Q17">
        <v>0</v>
      </c>
      <c r="R17">
        <v>64.844999999999999</v>
      </c>
      <c r="S17">
        <v>43</v>
      </c>
      <c r="T17">
        <v>19.8</v>
      </c>
    </row>
    <row r="18" spans="1:20" x14ac:dyDescent="0.3">
      <c r="A18" t="s">
        <v>644</v>
      </c>
      <c r="B18">
        <v>177.55099999999999</v>
      </c>
      <c r="C18">
        <v>58.268999999999998</v>
      </c>
      <c r="D18">
        <v>38.445999999999998</v>
      </c>
      <c r="E18">
        <v>0.33100000000000002</v>
      </c>
      <c r="F18">
        <v>79.260999999999996</v>
      </c>
      <c r="G18">
        <v>3.87</v>
      </c>
      <c r="H18">
        <v>112.11199999999999</v>
      </c>
      <c r="I18">
        <v>29.242000000000001</v>
      </c>
      <c r="J18">
        <v>2.0150000000000001</v>
      </c>
      <c r="K18">
        <v>230.24</v>
      </c>
      <c r="L18">
        <v>2.9</v>
      </c>
      <c r="M18">
        <v>52.665999999999997</v>
      </c>
      <c r="N18">
        <v>2.9470000000000001</v>
      </c>
      <c r="O18">
        <v>0.96</v>
      </c>
      <c r="P18">
        <v>2.9209999999999998</v>
      </c>
      <c r="Q18">
        <v>0</v>
      </c>
      <c r="R18">
        <v>64.412999999999997</v>
      </c>
      <c r="S18">
        <v>43</v>
      </c>
      <c r="T18">
        <v>19.8</v>
      </c>
    </row>
    <row r="19" spans="1:20" x14ac:dyDescent="0.3">
      <c r="A19" t="s">
        <v>645</v>
      </c>
      <c r="B19">
        <v>177.40600000000001</v>
      </c>
      <c r="C19">
        <v>58.213000000000001</v>
      </c>
      <c r="D19">
        <v>38.478999999999999</v>
      </c>
      <c r="E19">
        <v>0.39200000000000002</v>
      </c>
      <c r="F19">
        <v>78.650000000000006</v>
      </c>
      <c r="G19">
        <v>3.9169999999999998</v>
      </c>
      <c r="H19">
        <v>111.94799999999999</v>
      </c>
      <c r="I19">
        <v>29.501000000000001</v>
      </c>
      <c r="J19">
        <v>2.0150000000000001</v>
      </c>
      <c r="K19">
        <v>229.94399999999999</v>
      </c>
      <c r="L19">
        <v>2.9020000000000001</v>
      </c>
      <c r="M19">
        <v>52.774000000000001</v>
      </c>
      <c r="N19">
        <v>2.9449999999999998</v>
      </c>
      <c r="O19">
        <v>0.96599999999999997</v>
      </c>
      <c r="P19">
        <v>2.91</v>
      </c>
      <c r="Q19">
        <v>0</v>
      </c>
      <c r="R19">
        <v>64.265000000000001</v>
      </c>
      <c r="S19">
        <v>43.3</v>
      </c>
      <c r="T19">
        <v>19.8</v>
      </c>
    </row>
    <row r="20" spans="1:20" x14ac:dyDescent="0.3">
      <c r="A20" t="s">
        <v>646</v>
      </c>
      <c r="B20">
        <v>177.61099999999999</v>
      </c>
      <c r="C20">
        <v>58.2</v>
      </c>
      <c r="D20">
        <v>38.484999999999999</v>
      </c>
      <c r="E20">
        <v>0.40899999999999997</v>
      </c>
      <c r="F20">
        <v>78.887</v>
      </c>
      <c r="G20">
        <v>4.0439999999999996</v>
      </c>
      <c r="H20">
        <v>112.23699999999999</v>
      </c>
      <c r="I20">
        <v>29.591000000000001</v>
      </c>
      <c r="J20">
        <v>2.0129999999999999</v>
      </c>
      <c r="K20">
        <v>230.38800000000001</v>
      </c>
      <c r="L20">
        <v>2.9049999999999998</v>
      </c>
      <c r="M20">
        <v>52.906999999999996</v>
      </c>
      <c r="N20">
        <v>2.9380000000000002</v>
      </c>
      <c r="O20">
        <v>0.95499999999999996</v>
      </c>
      <c r="P20">
        <v>2.93</v>
      </c>
      <c r="Q20">
        <v>0</v>
      </c>
      <c r="R20">
        <v>64.412000000000006</v>
      </c>
      <c r="S20">
        <v>43.2</v>
      </c>
      <c r="T20">
        <v>19.8</v>
      </c>
    </row>
    <row r="21" spans="1:20" x14ac:dyDescent="0.3">
      <c r="A21" t="s">
        <v>647</v>
      </c>
      <c r="B21">
        <v>177.51300000000001</v>
      </c>
      <c r="C21">
        <v>58.216000000000001</v>
      </c>
      <c r="D21">
        <v>38.436</v>
      </c>
      <c r="E21">
        <v>0.36699999999999999</v>
      </c>
      <c r="F21">
        <v>78.075999999999993</v>
      </c>
      <c r="G21">
        <v>3.8530000000000002</v>
      </c>
      <c r="H21">
        <v>112.277</v>
      </c>
      <c r="I21">
        <v>29.574999999999999</v>
      </c>
      <c r="J21">
        <v>2.0150000000000001</v>
      </c>
      <c r="K21">
        <v>229.977</v>
      </c>
      <c r="L21">
        <v>2.9129999999999998</v>
      </c>
      <c r="M21">
        <v>52.707000000000001</v>
      </c>
      <c r="N21">
        <v>2.9420000000000002</v>
      </c>
      <c r="O21">
        <v>0.97099999999999997</v>
      </c>
      <c r="P21">
        <v>2.9369999999999998</v>
      </c>
      <c r="Q21">
        <v>0</v>
      </c>
      <c r="R21">
        <v>64.605000000000004</v>
      </c>
      <c r="S21">
        <v>43.3</v>
      </c>
      <c r="T21">
        <v>19.8</v>
      </c>
    </row>
    <row r="22" spans="1:20" x14ac:dyDescent="0.3">
      <c r="A22" t="s">
        <v>648</v>
      </c>
      <c r="B22">
        <v>177.65299999999999</v>
      </c>
      <c r="C22">
        <v>58.322000000000003</v>
      </c>
      <c r="D22">
        <v>38.380000000000003</v>
      </c>
      <c r="E22">
        <v>0.35199999999999998</v>
      </c>
      <c r="F22">
        <v>79.471999999999994</v>
      </c>
      <c r="G22">
        <v>3.98</v>
      </c>
      <c r="H22">
        <v>112.319</v>
      </c>
      <c r="I22">
        <v>29.587</v>
      </c>
      <c r="J22">
        <v>2.0150000000000001</v>
      </c>
      <c r="K22">
        <v>230.322</v>
      </c>
      <c r="L22">
        <v>2.903</v>
      </c>
      <c r="M22">
        <v>52.79</v>
      </c>
      <c r="N22">
        <v>2.9470000000000001</v>
      </c>
      <c r="O22">
        <v>0.96399999999999997</v>
      </c>
      <c r="P22">
        <v>2.93</v>
      </c>
      <c r="Q22">
        <v>0</v>
      </c>
      <c r="R22">
        <v>64.721000000000004</v>
      </c>
      <c r="S22">
        <v>43.2</v>
      </c>
      <c r="T22">
        <v>19.8</v>
      </c>
    </row>
    <row r="23" spans="1:20" x14ac:dyDescent="0.3">
      <c r="A23" t="s">
        <v>649</v>
      </c>
      <c r="B23">
        <v>177.755</v>
      </c>
      <c r="C23">
        <v>58.338000000000001</v>
      </c>
      <c r="D23">
        <v>38.259</v>
      </c>
      <c r="E23">
        <v>0.41299999999999998</v>
      </c>
      <c r="F23">
        <v>79.245000000000005</v>
      </c>
      <c r="G23">
        <v>4.1230000000000002</v>
      </c>
      <c r="H23">
        <v>112.246</v>
      </c>
      <c r="I23">
        <v>29.606999999999999</v>
      </c>
      <c r="J23">
        <v>2.0150000000000001</v>
      </c>
      <c r="K23">
        <v>229.994</v>
      </c>
      <c r="L23">
        <v>2.903</v>
      </c>
      <c r="M23">
        <v>52.749000000000002</v>
      </c>
      <c r="N23">
        <v>2.9430000000000001</v>
      </c>
      <c r="O23">
        <v>0.97899999999999998</v>
      </c>
      <c r="P23">
        <v>2.9289999999999998</v>
      </c>
      <c r="Q23">
        <v>0</v>
      </c>
      <c r="R23">
        <v>64.784999999999997</v>
      </c>
      <c r="S23">
        <v>43.1</v>
      </c>
      <c r="T23">
        <v>19.8</v>
      </c>
    </row>
    <row r="24" spans="1:20" x14ac:dyDescent="0.3">
      <c r="A24" t="s">
        <v>650</v>
      </c>
      <c r="B24">
        <v>177.66499999999999</v>
      </c>
      <c r="C24">
        <v>58.322000000000003</v>
      </c>
      <c r="D24">
        <v>38.320999999999998</v>
      </c>
      <c r="E24">
        <v>0.36599999999999999</v>
      </c>
      <c r="F24">
        <v>78.209999999999994</v>
      </c>
      <c r="G24">
        <v>4.4119999999999999</v>
      </c>
      <c r="H24">
        <v>112.453</v>
      </c>
      <c r="I24">
        <v>29.677</v>
      </c>
      <c r="J24">
        <v>2.0150000000000001</v>
      </c>
      <c r="K24">
        <v>230.322</v>
      </c>
      <c r="L24">
        <v>2.9049999999999998</v>
      </c>
      <c r="M24">
        <v>52.665999999999997</v>
      </c>
      <c r="N24">
        <v>2.9460000000000002</v>
      </c>
      <c r="O24">
        <v>0.97599999999999998</v>
      </c>
      <c r="P24">
        <v>2.931</v>
      </c>
      <c r="Q24">
        <v>0</v>
      </c>
      <c r="R24">
        <v>64.840999999999994</v>
      </c>
      <c r="S24">
        <v>43.2</v>
      </c>
      <c r="T24">
        <v>19.8</v>
      </c>
    </row>
    <row r="25" spans="1:20" ht="15" thickBot="1" x14ac:dyDescent="0.35">
      <c r="A25" t="s">
        <v>651</v>
      </c>
      <c r="B25">
        <v>177.81200000000001</v>
      </c>
      <c r="C25">
        <v>58.322000000000003</v>
      </c>
      <c r="D25">
        <v>38.262</v>
      </c>
      <c r="E25">
        <v>0.374</v>
      </c>
      <c r="F25">
        <v>77.953999999999994</v>
      </c>
      <c r="G25">
        <v>4.077</v>
      </c>
      <c r="H25">
        <v>112.541</v>
      </c>
      <c r="I25">
        <v>29.635999999999999</v>
      </c>
      <c r="J25">
        <v>2.016</v>
      </c>
      <c r="K25">
        <v>229.94399999999999</v>
      </c>
      <c r="L25">
        <v>2.9020000000000001</v>
      </c>
      <c r="M25">
        <v>52.737000000000002</v>
      </c>
      <c r="N25">
        <v>2.944</v>
      </c>
      <c r="O25">
        <v>0.96599999999999997</v>
      </c>
      <c r="P25">
        <v>2.94</v>
      </c>
      <c r="Q25">
        <v>0</v>
      </c>
      <c r="R25">
        <v>64.879000000000005</v>
      </c>
      <c r="S25">
        <v>43.2</v>
      </c>
      <c r="T25">
        <v>19.8</v>
      </c>
    </row>
    <row r="26" spans="1:20" ht="15" thickBot="1" x14ac:dyDescent="0.35">
      <c r="A26" t="s">
        <v>0</v>
      </c>
      <c r="B26" s="1">
        <f t="shared" ref="B26:S26" si="0">AVERAGE(B6:B25)</f>
        <v>177.51244999999997</v>
      </c>
      <c r="C26" s="1">
        <f t="shared" si="0"/>
        <v>58.228750000000012</v>
      </c>
      <c r="D26" s="1">
        <f t="shared" si="0"/>
        <v>38.229100000000003</v>
      </c>
      <c r="E26" s="10">
        <f t="shared" si="0"/>
        <v>0.37790000000000007</v>
      </c>
      <c r="F26" s="1">
        <f t="shared" si="0"/>
        <v>78.63679999999998</v>
      </c>
      <c r="G26" s="1">
        <f t="shared" si="0"/>
        <v>4.0172499999999998</v>
      </c>
      <c r="H26" s="10">
        <f t="shared" si="0"/>
        <v>112.26960000000004</v>
      </c>
      <c r="I26" s="1">
        <f t="shared" si="0"/>
        <v>29.462449999999997</v>
      </c>
      <c r="J26" s="8">
        <f t="shared" si="0"/>
        <v>2.0150499999999996</v>
      </c>
      <c r="K26" s="1">
        <f t="shared" si="0"/>
        <v>230.13000000000005</v>
      </c>
      <c r="L26" s="1">
        <f t="shared" si="0"/>
        <v>2.9030999999999998</v>
      </c>
      <c r="M26" s="1">
        <f t="shared" si="0"/>
        <v>52.740750000000013</v>
      </c>
      <c r="N26" s="1">
        <f t="shared" si="0"/>
        <v>2.9451000000000001</v>
      </c>
      <c r="O26" s="1">
        <f t="shared" si="0"/>
        <v>0.96139999999999992</v>
      </c>
      <c r="P26" s="1">
        <f t="shared" si="0"/>
        <v>2.9323999999999999</v>
      </c>
      <c r="Q26" s="1">
        <f t="shared" si="0"/>
        <v>0</v>
      </c>
      <c r="R26" s="1">
        <f t="shared" si="0"/>
        <v>64.703699999999998</v>
      </c>
      <c r="S26" s="1">
        <f t="shared" si="0"/>
        <v>43.204999999999998</v>
      </c>
      <c r="T26" s="8">
        <f>AVERAGE(T6:T25)</f>
        <v>19.800000000000004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1.9710000000000001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328-B5B5-4C0B-81D0-57CC6D2B2A5A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0.47980324074074077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39.998658888218337</v>
      </c>
      <c r="M2" s="8">
        <f>(H26*0.001*60)*(K2/100)*(G2/I2)</f>
        <v>2.1200006329568644</v>
      </c>
      <c r="O2" s="9">
        <f>100*((E26*C2)/((E26*C2)+(M2*E2)))</f>
        <v>14.572026427083054</v>
      </c>
      <c r="Q2" s="10">
        <f>100*J26*(1/(((C2/3.6)*E26)+((E2/3.6)*M2)))</f>
        <v>12.074169335825387</v>
      </c>
      <c r="S2" s="6">
        <v>3.54</v>
      </c>
      <c r="U2" s="10">
        <f>100*((((G26*0.001*60)*(C26-D26)*(S2/3.6)))/(((C2/3.6)*E26)+((E2/3.6)*M2)))</f>
        <v>11.21992937922152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652</v>
      </c>
      <c r="B6">
        <v>216.411</v>
      </c>
      <c r="C6">
        <v>58.186999999999998</v>
      </c>
      <c r="D6">
        <v>46.945</v>
      </c>
      <c r="E6">
        <v>0.47</v>
      </c>
      <c r="F6">
        <v>79.879000000000005</v>
      </c>
      <c r="G6">
        <v>5.86</v>
      </c>
      <c r="H6">
        <v>123.376</v>
      </c>
      <c r="I6">
        <v>30.088000000000001</v>
      </c>
      <c r="J6">
        <v>4.1689999999999996</v>
      </c>
      <c r="K6">
        <v>230.25700000000001</v>
      </c>
      <c r="L6">
        <v>6.1289999999999996</v>
      </c>
      <c r="M6">
        <v>52.566000000000003</v>
      </c>
      <c r="N6">
        <v>5.9749999999999996</v>
      </c>
      <c r="O6">
        <v>0.98899999999999999</v>
      </c>
      <c r="P6">
        <v>3.3290000000000002</v>
      </c>
      <c r="Q6">
        <v>0</v>
      </c>
      <c r="R6">
        <v>71.606999999999999</v>
      </c>
      <c r="S6">
        <v>47.6</v>
      </c>
      <c r="T6">
        <v>13.5</v>
      </c>
    </row>
    <row r="7" spans="1:21" x14ac:dyDescent="0.3">
      <c r="A7" t="s">
        <v>653</v>
      </c>
      <c r="B7">
        <v>216.161</v>
      </c>
      <c r="C7">
        <v>58.151000000000003</v>
      </c>
      <c r="D7">
        <v>46.960999999999999</v>
      </c>
      <c r="E7">
        <v>0.41699999999999998</v>
      </c>
      <c r="F7">
        <v>79.320999999999998</v>
      </c>
      <c r="G7">
        <v>6.0119999999999996</v>
      </c>
      <c r="H7">
        <v>123.172</v>
      </c>
      <c r="I7">
        <v>30.379000000000001</v>
      </c>
      <c r="J7">
        <v>4.1609999999999996</v>
      </c>
      <c r="K7">
        <v>229.994</v>
      </c>
      <c r="L7">
        <v>6.125</v>
      </c>
      <c r="M7">
        <v>52.567</v>
      </c>
      <c r="N7">
        <v>5.968</v>
      </c>
      <c r="O7">
        <v>0.98399999999999999</v>
      </c>
      <c r="P7">
        <v>3.3439999999999999</v>
      </c>
      <c r="Q7">
        <v>0</v>
      </c>
      <c r="R7">
        <v>70.972999999999999</v>
      </c>
      <c r="S7">
        <v>47.9</v>
      </c>
      <c r="T7">
        <v>13.5</v>
      </c>
    </row>
    <row r="8" spans="1:21" x14ac:dyDescent="0.3">
      <c r="A8" t="s">
        <v>654</v>
      </c>
      <c r="B8">
        <v>216.399</v>
      </c>
      <c r="C8">
        <v>58.143999999999998</v>
      </c>
      <c r="D8">
        <v>46.997</v>
      </c>
      <c r="E8">
        <v>0.37</v>
      </c>
      <c r="F8">
        <v>80.033000000000001</v>
      </c>
      <c r="G8">
        <v>5.9409999999999998</v>
      </c>
      <c r="H8">
        <v>123.181</v>
      </c>
      <c r="I8">
        <v>30.154</v>
      </c>
      <c r="J8">
        <v>4.1689999999999996</v>
      </c>
      <c r="K8">
        <v>230.322</v>
      </c>
      <c r="L8">
        <v>6.1630000000000003</v>
      </c>
      <c r="M8">
        <v>52.478999999999999</v>
      </c>
      <c r="N8">
        <v>5.9710000000000001</v>
      </c>
      <c r="O8">
        <v>0.99199999999999999</v>
      </c>
      <c r="P8">
        <v>3.33</v>
      </c>
      <c r="Q8">
        <v>0</v>
      </c>
      <c r="R8">
        <v>71.054000000000002</v>
      </c>
      <c r="S8">
        <v>47.7</v>
      </c>
      <c r="T8">
        <v>13.5</v>
      </c>
    </row>
    <row r="9" spans="1:21" x14ac:dyDescent="0.3">
      <c r="A9" t="s">
        <v>655</v>
      </c>
      <c r="B9">
        <v>216.363</v>
      </c>
      <c r="C9">
        <v>58.18</v>
      </c>
      <c r="D9">
        <v>47.088999999999999</v>
      </c>
      <c r="E9">
        <v>0.35</v>
      </c>
      <c r="F9">
        <v>79.593000000000004</v>
      </c>
      <c r="G9">
        <v>5.7409999999999997</v>
      </c>
      <c r="H9">
        <v>123.60299999999999</v>
      </c>
      <c r="I9">
        <v>30.273</v>
      </c>
      <c r="J9">
        <v>4.1589999999999998</v>
      </c>
      <c r="K9">
        <v>229.91200000000001</v>
      </c>
      <c r="L9">
        <v>6.1749999999999998</v>
      </c>
      <c r="M9">
        <v>52.703000000000003</v>
      </c>
      <c r="N9">
        <v>5.976</v>
      </c>
      <c r="O9">
        <v>0.99399999999999999</v>
      </c>
      <c r="P9">
        <v>3.3170000000000002</v>
      </c>
      <c r="Q9">
        <v>0</v>
      </c>
      <c r="R9">
        <v>71.347999999999999</v>
      </c>
      <c r="S9">
        <v>47.8</v>
      </c>
      <c r="T9">
        <v>13.5</v>
      </c>
    </row>
    <row r="10" spans="1:21" x14ac:dyDescent="0.3">
      <c r="A10" t="s">
        <v>656</v>
      </c>
      <c r="B10">
        <v>216.28200000000001</v>
      </c>
      <c r="C10">
        <v>58.107999999999997</v>
      </c>
      <c r="D10">
        <v>47.155000000000001</v>
      </c>
      <c r="E10">
        <v>0.46100000000000002</v>
      </c>
      <c r="F10">
        <v>78.942999999999998</v>
      </c>
      <c r="G10">
        <v>5.6070000000000002</v>
      </c>
      <c r="H10">
        <v>123.536</v>
      </c>
      <c r="I10">
        <v>30.24</v>
      </c>
      <c r="J10">
        <v>4.1689999999999996</v>
      </c>
      <c r="K10">
        <v>230.37200000000001</v>
      </c>
      <c r="L10">
        <v>6.1870000000000003</v>
      </c>
      <c r="M10">
        <v>52.441000000000003</v>
      </c>
      <c r="N10">
        <v>5.9610000000000003</v>
      </c>
      <c r="O10">
        <v>1.026</v>
      </c>
      <c r="P10">
        <v>3.2709999999999999</v>
      </c>
      <c r="Q10">
        <v>0</v>
      </c>
      <c r="R10">
        <v>71.543000000000006</v>
      </c>
      <c r="S10">
        <v>47.7</v>
      </c>
      <c r="T10">
        <v>13.5</v>
      </c>
    </row>
    <row r="11" spans="1:21" x14ac:dyDescent="0.3">
      <c r="A11" t="s">
        <v>657</v>
      </c>
      <c r="B11">
        <v>215.96299999999999</v>
      </c>
      <c r="C11">
        <v>58.146999999999998</v>
      </c>
      <c r="D11">
        <v>47.283000000000001</v>
      </c>
      <c r="E11">
        <v>0.47299999999999998</v>
      </c>
      <c r="F11">
        <v>79.198999999999998</v>
      </c>
      <c r="G11">
        <v>5.5220000000000002</v>
      </c>
      <c r="H11">
        <v>123.505</v>
      </c>
      <c r="I11">
        <v>30.297000000000001</v>
      </c>
      <c r="J11">
        <v>4.16</v>
      </c>
      <c r="K11">
        <v>229.994</v>
      </c>
      <c r="L11">
        <v>6.0359999999999996</v>
      </c>
      <c r="M11">
        <v>52.627000000000002</v>
      </c>
      <c r="N11">
        <v>5.9729999999999999</v>
      </c>
      <c r="O11">
        <v>0.98099999999999998</v>
      </c>
      <c r="P11">
        <v>3.3250000000000002</v>
      </c>
      <c r="Q11">
        <v>0</v>
      </c>
      <c r="R11">
        <v>71.641000000000005</v>
      </c>
      <c r="S11">
        <v>47.8</v>
      </c>
      <c r="T11">
        <v>13.5</v>
      </c>
    </row>
    <row r="12" spans="1:21" x14ac:dyDescent="0.3">
      <c r="A12" t="s">
        <v>658</v>
      </c>
      <c r="B12">
        <v>216.255</v>
      </c>
      <c r="C12">
        <v>58.154000000000003</v>
      </c>
      <c r="D12">
        <v>47.188000000000002</v>
      </c>
      <c r="E12">
        <v>0.36799999999999999</v>
      </c>
      <c r="F12">
        <v>79.488</v>
      </c>
      <c r="G12">
        <v>5.5759999999999996</v>
      </c>
      <c r="H12">
        <v>123.749</v>
      </c>
      <c r="I12">
        <v>30.219000000000001</v>
      </c>
      <c r="J12">
        <v>4.1669999999999998</v>
      </c>
      <c r="K12">
        <v>230.24</v>
      </c>
      <c r="L12">
        <v>6.0490000000000004</v>
      </c>
      <c r="M12">
        <v>52.622999999999998</v>
      </c>
      <c r="N12">
        <v>5.9720000000000004</v>
      </c>
      <c r="O12">
        <v>0.96499999999999997</v>
      </c>
      <c r="P12">
        <v>3.33</v>
      </c>
      <c r="Q12">
        <v>0</v>
      </c>
      <c r="R12">
        <v>71.701999999999998</v>
      </c>
      <c r="S12">
        <v>47.7</v>
      </c>
      <c r="T12">
        <v>13.5</v>
      </c>
    </row>
    <row r="13" spans="1:21" x14ac:dyDescent="0.3">
      <c r="A13" t="s">
        <v>659</v>
      </c>
      <c r="B13">
        <v>215.90199999999999</v>
      </c>
      <c r="C13">
        <v>58.18</v>
      </c>
      <c r="D13">
        <v>47.082999999999998</v>
      </c>
      <c r="E13">
        <v>0.35299999999999998</v>
      </c>
      <c r="F13">
        <v>79.373000000000005</v>
      </c>
      <c r="G13">
        <v>6.0030000000000001</v>
      </c>
      <c r="H13">
        <v>123.944</v>
      </c>
      <c r="I13">
        <v>30.173999999999999</v>
      </c>
      <c r="J13">
        <v>4.16</v>
      </c>
      <c r="K13">
        <v>230.02699999999999</v>
      </c>
      <c r="L13">
        <v>6.0369999999999999</v>
      </c>
      <c r="M13">
        <v>52.554000000000002</v>
      </c>
      <c r="N13">
        <v>5.9770000000000003</v>
      </c>
      <c r="O13">
        <v>0.98</v>
      </c>
      <c r="P13">
        <v>3.335</v>
      </c>
      <c r="Q13">
        <v>0</v>
      </c>
      <c r="R13">
        <v>71.759</v>
      </c>
      <c r="S13">
        <v>47.8</v>
      </c>
      <c r="T13">
        <v>13.5</v>
      </c>
    </row>
    <row r="14" spans="1:21" x14ac:dyDescent="0.3">
      <c r="A14" t="s">
        <v>660</v>
      </c>
      <c r="B14">
        <v>216.08199999999999</v>
      </c>
      <c r="C14">
        <v>58.156999999999996</v>
      </c>
      <c r="D14">
        <v>46.935000000000002</v>
      </c>
      <c r="E14">
        <v>0.41899999999999998</v>
      </c>
      <c r="F14">
        <v>79.938000000000002</v>
      </c>
      <c r="G14">
        <v>5.7830000000000004</v>
      </c>
      <c r="H14">
        <v>124.039</v>
      </c>
      <c r="I14">
        <v>30.326000000000001</v>
      </c>
      <c r="J14">
        <v>4.1660000000000004</v>
      </c>
      <c r="K14">
        <v>230.25700000000001</v>
      </c>
      <c r="L14">
        <v>6.05</v>
      </c>
      <c r="M14">
        <v>52.627000000000002</v>
      </c>
      <c r="N14">
        <v>5.9729999999999999</v>
      </c>
      <c r="O14">
        <v>0.96099999999999997</v>
      </c>
      <c r="P14">
        <v>3.3809999999999998</v>
      </c>
      <c r="Q14">
        <v>0</v>
      </c>
      <c r="R14">
        <v>71.796000000000006</v>
      </c>
      <c r="S14">
        <v>47.8</v>
      </c>
      <c r="T14">
        <v>13.5</v>
      </c>
    </row>
    <row r="15" spans="1:21" x14ac:dyDescent="0.3">
      <c r="A15" t="s">
        <v>661</v>
      </c>
      <c r="B15">
        <v>216.197</v>
      </c>
      <c r="C15">
        <v>58.143999999999998</v>
      </c>
      <c r="D15">
        <v>46.832999999999998</v>
      </c>
      <c r="E15">
        <v>0.505</v>
      </c>
      <c r="F15">
        <v>78.442999999999998</v>
      </c>
      <c r="G15">
        <v>5.806</v>
      </c>
      <c r="H15">
        <v>124.161</v>
      </c>
      <c r="I15">
        <v>30.314</v>
      </c>
      <c r="J15">
        <v>4.16</v>
      </c>
      <c r="K15">
        <v>229.96100000000001</v>
      </c>
      <c r="L15">
        <v>6.0380000000000003</v>
      </c>
      <c r="M15">
        <v>52.52</v>
      </c>
      <c r="N15">
        <v>5.9720000000000004</v>
      </c>
      <c r="O15">
        <v>0.98</v>
      </c>
      <c r="P15">
        <v>3.335</v>
      </c>
      <c r="Q15">
        <v>0</v>
      </c>
      <c r="R15">
        <v>71.872</v>
      </c>
      <c r="S15">
        <v>47.7</v>
      </c>
      <c r="T15">
        <v>13.5</v>
      </c>
    </row>
    <row r="16" spans="1:21" x14ac:dyDescent="0.3">
      <c r="A16" t="s">
        <v>662</v>
      </c>
      <c r="B16">
        <v>216.16499999999999</v>
      </c>
      <c r="C16">
        <v>58.094999999999999</v>
      </c>
      <c r="D16">
        <v>46.902000000000001</v>
      </c>
      <c r="E16">
        <v>0.46600000000000003</v>
      </c>
      <c r="F16">
        <v>79.323999999999998</v>
      </c>
      <c r="G16">
        <v>6.14</v>
      </c>
      <c r="H16">
        <v>124.009</v>
      </c>
      <c r="I16">
        <v>30.4</v>
      </c>
      <c r="J16">
        <v>4.1680000000000001</v>
      </c>
      <c r="K16">
        <v>230.30600000000001</v>
      </c>
      <c r="L16">
        <v>6.0549999999999997</v>
      </c>
      <c r="M16">
        <v>52.570999999999998</v>
      </c>
      <c r="N16">
        <v>5.9770000000000003</v>
      </c>
      <c r="O16">
        <v>0.995</v>
      </c>
      <c r="P16">
        <v>3.347</v>
      </c>
      <c r="Q16">
        <v>0</v>
      </c>
      <c r="R16">
        <v>71.924999999999997</v>
      </c>
      <c r="S16">
        <v>47.6</v>
      </c>
      <c r="T16">
        <v>13.5</v>
      </c>
    </row>
    <row r="17" spans="1:20" x14ac:dyDescent="0.3">
      <c r="A17" t="s">
        <v>663</v>
      </c>
      <c r="B17">
        <v>216.55699999999999</v>
      </c>
      <c r="C17">
        <v>58.091999999999999</v>
      </c>
      <c r="D17">
        <v>46.758000000000003</v>
      </c>
      <c r="E17">
        <v>0.37</v>
      </c>
      <c r="F17">
        <v>79.418999999999997</v>
      </c>
      <c r="G17">
        <v>5.944</v>
      </c>
      <c r="H17">
        <v>124.003</v>
      </c>
      <c r="I17">
        <v>29.989000000000001</v>
      </c>
      <c r="J17">
        <v>4.16</v>
      </c>
      <c r="K17">
        <v>230.02699999999999</v>
      </c>
      <c r="L17">
        <v>6.0380000000000003</v>
      </c>
      <c r="M17">
        <v>52.56</v>
      </c>
      <c r="N17">
        <v>5.9710000000000001</v>
      </c>
      <c r="O17">
        <v>0.98899999999999999</v>
      </c>
      <c r="P17">
        <v>3.351</v>
      </c>
      <c r="Q17">
        <v>0</v>
      </c>
      <c r="R17">
        <v>72.027000000000001</v>
      </c>
      <c r="S17">
        <v>47.6</v>
      </c>
      <c r="T17">
        <v>13.5</v>
      </c>
    </row>
    <row r="18" spans="1:20" x14ac:dyDescent="0.3">
      <c r="A18" t="s">
        <v>664</v>
      </c>
      <c r="B18">
        <v>216.44800000000001</v>
      </c>
      <c r="C18">
        <v>58.078000000000003</v>
      </c>
      <c r="D18">
        <v>46.767000000000003</v>
      </c>
      <c r="E18">
        <v>0.34</v>
      </c>
      <c r="F18">
        <v>79.248000000000005</v>
      </c>
      <c r="G18">
        <v>6.0620000000000003</v>
      </c>
      <c r="H18">
        <v>124.23099999999999</v>
      </c>
      <c r="I18">
        <v>30.445</v>
      </c>
      <c r="J18">
        <v>4.1689999999999996</v>
      </c>
      <c r="K18">
        <v>230.28899999999999</v>
      </c>
      <c r="L18">
        <v>6.0519999999999996</v>
      </c>
      <c r="M18">
        <v>52.564</v>
      </c>
      <c r="N18">
        <v>5.9749999999999996</v>
      </c>
      <c r="O18">
        <v>0.98199999999999998</v>
      </c>
      <c r="P18">
        <v>3.3460000000000001</v>
      </c>
      <c r="Q18">
        <v>0</v>
      </c>
      <c r="R18">
        <v>72.146000000000001</v>
      </c>
      <c r="S18">
        <v>47.7</v>
      </c>
      <c r="T18">
        <v>13.5</v>
      </c>
    </row>
    <row r="19" spans="1:20" x14ac:dyDescent="0.3">
      <c r="A19" t="s">
        <v>665</v>
      </c>
      <c r="B19">
        <v>216.21299999999999</v>
      </c>
      <c r="C19">
        <v>58.082000000000001</v>
      </c>
      <c r="D19">
        <v>46.741</v>
      </c>
      <c r="E19">
        <v>0.38100000000000001</v>
      </c>
      <c r="F19">
        <v>78.834000000000003</v>
      </c>
      <c r="G19">
        <v>5.8979999999999997</v>
      </c>
      <c r="H19">
        <v>124.178</v>
      </c>
      <c r="I19">
        <v>30.08</v>
      </c>
      <c r="J19">
        <v>4.1580000000000004</v>
      </c>
      <c r="K19">
        <v>229.86199999999999</v>
      </c>
      <c r="L19">
        <v>6.0369999999999999</v>
      </c>
      <c r="M19">
        <v>52.5</v>
      </c>
      <c r="N19">
        <v>5.9710000000000001</v>
      </c>
      <c r="O19">
        <v>1.002</v>
      </c>
      <c r="P19">
        <v>3.3330000000000002</v>
      </c>
      <c r="Q19">
        <v>0</v>
      </c>
      <c r="R19">
        <v>72.283000000000001</v>
      </c>
      <c r="S19">
        <v>47.5</v>
      </c>
      <c r="T19">
        <v>13.5</v>
      </c>
    </row>
    <row r="20" spans="1:20" x14ac:dyDescent="0.3">
      <c r="A20" t="s">
        <v>666</v>
      </c>
      <c r="B20">
        <v>216.274</v>
      </c>
      <c r="C20">
        <v>58.078000000000003</v>
      </c>
      <c r="D20">
        <v>46.804000000000002</v>
      </c>
      <c r="E20">
        <v>0.46</v>
      </c>
      <c r="F20">
        <v>79.62</v>
      </c>
      <c r="G20">
        <v>6.0490000000000004</v>
      </c>
      <c r="H20">
        <v>123.68899999999999</v>
      </c>
      <c r="I20">
        <v>30.63</v>
      </c>
      <c r="J20">
        <v>4.1689999999999996</v>
      </c>
      <c r="K20">
        <v>230.38800000000001</v>
      </c>
      <c r="L20">
        <v>6.0540000000000003</v>
      </c>
      <c r="M20">
        <v>52.488999999999997</v>
      </c>
      <c r="N20">
        <v>5.9580000000000002</v>
      </c>
      <c r="O20">
        <v>1.0109999999999999</v>
      </c>
      <c r="P20">
        <v>3.3130000000000002</v>
      </c>
      <c r="Q20">
        <v>0</v>
      </c>
      <c r="R20">
        <v>71.891999999999996</v>
      </c>
      <c r="S20">
        <v>47.7</v>
      </c>
      <c r="T20">
        <v>13.5</v>
      </c>
    </row>
    <row r="21" spans="1:20" x14ac:dyDescent="0.3">
      <c r="A21" t="s">
        <v>667</v>
      </c>
      <c r="B21">
        <v>216.30799999999999</v>
      </c>
      <c r="C21">
        <v>58.097999999999999</v>
      </c>
      <c r="D21">
        <v>46.921999999999997</v>
      </c>
      <c r="E21">
        <v>0.50700000000000001</v>
      </c>
      <c r="F21">
        <v>78.650000000000006</v>
      </c>
      <c r="G21">
        <v>5.7869999999999999</v>
      </c>
      <c r="H21">
        <v>123.19799999999999</v>
      </c>
      <c r="I21">
        <v>30.178000000000001</v>
      </c>
      <c r="J21">
        <v>4.1589999999999998</v>
      </c>
      <c r="K21">
        <v>229.87899999999999</v>
      </c>
      <c r="L21">
        <v>6.0380000000000003</v>
      </c>
      <c r="M21">
        <v>52.476999999999997</v>
      </c>
      <c r="N21">
        <v>5.968</v>
      </c>
      <c r="O21">
        <v>0.98099999999999998</v>
      </c>
      <c r="P21">
        <v>3.31</v>
      </c>
      <c r="Q21">
        <v>0</v>
      </c>
      <c r="R21">
        <v>71.088999999999999</v>
      </c>
      <c r="S21">
        <v>47.6</v>
      </c>
      <c r="T21">
        <v>13.5</v>
      </c>
    </row>
    <row r="22" spans="1:20" x14ac:dyDescent="0.3">
      <c r="A22" t="s">
        <v>668</v>
      </c>
      <c r="B22">
        <v>216.46700000000001</v>
      </c>
      <c r="C22">
        <v>58.143999999999998</v>
      </c>
      <c r="D22">
        <v>46.935000000000002</v>
      </c>
      <c r="E22">
        <v>0.501</v>
      </c>
      <c r="F22">
        <v>79.320999999999998</v>
      </c>
      <c r="G22">
        <v>6.0279999999999996</v>
      </c>
      <c r="H22">
        <v>123.194</v>
      </c>
      <c r="I22">
        <v>30.285</v>
      </c>
      <c r="J22">
        <v>4.1660000000000004</v>
      </c>
      <c r="K22">
        <v>230.191</v>
      </c>
      <c r="L22">
        <v>6.0469999999999997</v>
      </c>
      <c r="M22">
        <v>52.487000000000002</v>
      </c>
      <c r="N22">
        <v>5.9710000000000001</v>
      </c>
      <c r="O22">
        <v>0.97199999999999998</v>
      </c>
      <c r="P22">
        <v>3.331</v>
      </c>
      <c r="Q22">
        <v>0</v>
      </c>
      <c r="R22">
        <v>70.917000000000002</v>
      </c>
      <c r="S22">
        <v>47.7</v>
      </c>
      <c r="T22">
        <v>13.5</v>
      </c>
    </row>
    <row r="23" spans="1:20" x14ac:dyDescent="0.3">
      <c r="A23" t="s">
        <v>669</v>
      </c>
      <c r="B23">
        <v>216.72399999999999</v>
      </c>
      <c r="C23">
        <v>58.268999999999998</v>
      </c>
      <c r="D23">
        <v>46.968000000000004</v>
      </c>
      <c r="E23">
        <v>0.38200000000000001</v>
      </c>
      <c r="F23">
        <v>79.944999999999993</v>
      </c>
      <c r="G23">
        <v>5.8360000000000003</v>
      </c>
      <c r="H23">
        <v>123.453</v>
      </c>
      <c r="I23">
        <v>30.440999999999999</v>
      </c>
      <c r="J23">
        <v>4.1639999999999997</v>
      </c>
      <c r="K23">
        <v>230.04300000000001</v>
      </c>
      <c r="L23">
        <v>6.0510000000000002</v>
      </c>
      <c r="M23">
        <v>52.600999999999999</v>
      </c>
      <c r="N23">
        <v>5.97</v>
      </c>
      <c r="O23">
        <v>1.002</v>
      </c>
      <c r="P23">
        <v>3.327</v>
      </c>
      <c r="Q23">
        <v>0</v>
      </c>
      <c r="R23">
        <v>71.19</v>
      </c>
      <c r="S23">
        <v>47.7</v>
      </c>
      <c r="T23">
        <v>13.5</v>
      </c>
    </row>
    <row r="24" spans="1:20" x14ac:dyDescent="0.3">
      <c r="A24" t="s">
        <v>670</v>
      </c>
      <c r="B24">
        <v>216.316</v>
      </c>
      <c r="C24">
        <v>58.17</v>
      </c>
      <c r="D24">
        <v>47.106000000000002</v>
      </c>
      <c r="E24">
        <v>0.39900000000000002</v>
      </c>
      <c r="F24">
        <v>78.164000000000001</v>
      </c>
      <c r="G24">
        <v>5.883</v>
      </c>
      <c r="H24">
        <v>123.61</v>
      </c>
      <c r="I24">
        <v>29.25</v>
      </c>
      <c r="J24">
        <v>4.1639999999999997</v>
      </c>
      <c r="K24">
        <v>230.191</v>
      </c>
      <c r="L24">
        <v>6.0529999999999999</v>
      </c>
      <c r="M24">
        <v>52.585000000000001</v>
      </c>
      <c r="N24">
        <v>5.97</v>
      </c>
      <c r="O24">
        <v>1.004</v>
      </c>
      <c r="P24">
        <v>3.3210000000000002</v>
      </c>
      <c r="Q24">
        <v>0</v>
      </c>
      <c r="R24">
        <v>71.399000000000001</v>
      </c>
      <c r="S24">
        <v>47.9</v>
      </c>
      <c r="T24">
        <v>13.5</v>
      </c>
    </row>
    <row r="25" spans="1:20" ht="15" thickBot="1" x14ac:dyDescent="0.35">
      <c r="A25" t="s">
        <v>671</v>
      </c>
      <c r="B25">
        <v>216.625</v>
      </c>
      <c r="C25">
        <v>58.124000000000002</v>
      </c>
      <c r="D25">
        <v>47.204000000000001</v>
      </c>
      <c r="E25">
        <v>0.48199999999999998</v>
      </c>
      <c r="F25">
        <v>79.721000000000004</v>
      </c>
      <c r="G25">
        <v>6.0540000000000003</v>
      </c>
      <c r="H25">
        <v>123.586</v>
      </c>
      <c r="I25">
        <v>30.515000000000001</v>
      </c>
      <c r="J25">
        <v>4.165</v>
      </c>
      <c r="K25">
        <v>230.07599999999999</v>
      </c>
      <c r="L25">
        <v>6.0529999999999999</v>
      </c>
      <c r="M25">
        <v>52.692</v>
      </c>
      <c r="N25">
        <v>5.9660000000000002</v>
      </c>
      <c r="O25">
        <v>0.99099999999999999</v>
      </c>
      <c r="P25">
        <v>3.3330000000000002</v>
      </c>
      <c r="Q25">
        <v>0</v>
      </c>
      <c r="R25">
        <v>71.516999999999996</v>
      </c>
      <c r="S25">
        <v>47.9</v>
      </c>
      <c r="T25">
        <v>13.5</v>
      </c>
    </row>
    <row r="26" spans="1:20" ht="15" thickBot="1" x14ac:dyDescent="0.35">
      <c r="A26" t="s">
        <v>0</v>
      </c>
      <c r="B26" s="1">
        <f t="shared" ref="B26:S26" si="0">AVERAGE(B6:B25)</f>
        <v>216.3056</v>
      </c>
      <c r="C26" s="1">
        <f t="shared" si="0"/>
        <v>58.139099999999999</v>
      </c>
      <c r="D26" s="1">
        <f t="shared" si="0"/>
        <v>46.978800000000007</v>
      </c>
      <c r="E26" s="10">
        <f t="shared" si="0"/>
        <v>0.42370000000000002</v>
      </c>
      <c r="F26" s="1">
        <f t="shared" si="0"/>
        <v>79.322800000000001</v>
      </c>
      <c r="G26" s="1">
        <f t="shared" si="0"/>
        <v>5.8766000000000007</v>
      </c>
      <c r="H26" s="10">
        <f t="shared" si="0"/>
        <v>123.67085</v>
      </c>
      <c r="I26" s="1">
        <f t="shared" si="0"/>
        <v>30.233849999999997</v>
      </c>
      <c r="J26" s="8">
        <f t="shared" si="0"/>
        <v>4.1640999999999995</v>
      </c>
      <c r="K26" s="1">
        <f t="shared" si="0"/>
        <v>230.12939999999998</v>
      </c>
      <c r="L26" s="1">
        <f t="shared" si="0"/>
        <v>6.0733500000000005</v>
      </c>
      <c r="M26" s="1">
        <f t="shared" si="0"/>
        <v>52.561650000000007</v>
      </c>
      <c r="N26" s="1">
        <f t="shared" si="0"/>
        <v>5.9707499999999998</v>
      </c>
      <c r="O26" s="1">
        <f t="shared" si="0"/>
        <v>0.98904999999999998</v>
      </c>
      <c r="P26" s="1">
        <f t="shared" si="0"/>
        <v>3.3304500000000004</v>
      </c>
      <c r="Q26" s="1">
        <f t="shared" si="0"/>
        <v>0</v>
      </c>
      <c r="R26" s="1">
        <f t="shared" si="0"/>
        <v>71.584000000000003</v>
      </c>
      <c r="S26" s="1">
        <f t="shared" si="0"/>
        <v>47.720000000000013</v>
      </c>
      <c r="T26" s="8">
        <f>AVERAGE(T6:T25)</f>
        <v>13.5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2.3414000000000001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7584-1816-4AF7-A9F4-B26F4EF19BAF}">
  <dimension ref="A1:U28"/>
  <sheetViews>
    <sheetView zoomScale="85" zoomScaleNormal="85" workbookViewId="0">
      <selection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0.48405092592592591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38.658190522522546</v>
      </c>
      <c r="M2" s="8">
        <f>(H26*0.001*60)*(K2/100)*(G2/I2)</f>
        <v>2.3179183191270187</v>
      </c>
      <c r="O2" s="9">
        <f>100*((E26*C2)/((E26*C2)+(M2*E2)))</f>
        <v>14.834415017312727</v>
      </c>
      <c r="Q2" s="10">
        <f>100*J26*(1/(((C2/3.6)*E26)+((E2/3.6)*M2)))</f>
        <v>15.58461318631567</v>
      </c>
      <c r="S2" s="6">
        <v>3.54</v>
      </c>
      <c r="U2" s="10">
        <f>100*((((G26*0.001*60)*(C26-D26)*(S2/3.6)))/(((C2/3.6)*E26)+((E2/3.6)*M2)))</f>
        <v>6.5369855958291767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672</v>
      </c>
      <c r="B6">
        <v>252.399</v>
      </c>
      <c r="C6">
        <v>58.545000000000002</v>
      </c>
      <c r="D6">
        <v>53.344000000000001</v>
      </c>
      <c r="E6">
        <v>0.44400000000000001</v>
      </c>
      <c r="F6">
        <v>80.427999999999997</v>
      </c>
      <c r="G6">
        <v>8.3179999999999996</v>
      </c>
      <c r="H6">
        <v>139.89699999999999</v>
      </c>
      <c r="I6">
        <v>30.088000000000001</v>
      </c>
      <c r="J6">
        <v>5.8890000000000002</v>
      </c>
      <c r="K6">
        <v>230.17400000000001</v>
      </c>
      <c r="L6">
        <v>8.532</v>
      </c>
      <c r="M6">
        <v>52.37</v>
      </c>
      <c r="N6">
        <v>8.484</v>
      </c>
      <c r="O6">
        <v>1.018</v>
      </c>
      <c r="P6">
        <v>3.238</v>
      </c>
      <c r="Q6">
        <v>0</v>
      </c>
      <c r="R6">
        <v>82.269000000000005</v>
      </c>
      <c r="S6">
        <v>52</v>
      </c>
      <c r="T6">
        <v>19.7</v>
      </c>
    </row>
    <row r="7" spans="1:21" x14ac:dyDescent="0.3">
      <c r="A7" t="s">
        <v>673</v>
      </c>
      <c r="B7">
        <v>252.441</v>
      </c>
      <c r="C7">
        <v>58.558</v>
      </c>
      <c r="D7">
        <v>53.344000000000001</v>
      </c>
      <c r="E7">
        <v>0.42599999999999999</v>
      </c>
      <c r="F7">
        <v>78.391000000000005</v>
      </c>
      <c r="G7">
        <v>8.1780000000000008</v>
      </c>
      <c r="H7">
        <v>139.852</v>
      </c>
      <c r="I7">
        <v>29.956</v>
      </c>
      <c r="J7">
        <v>5.8929999999999998</v>
      </c>
      <c r="K7">
        <v>230.22399999999999</v>
      </c>
      <c r="L7">
        <v>8.532</v>
      </c>
      <c r="M7">
        <v>52.368000000000002</v>
      </c>
      <c r="N7">
        <v>8.4830000000000005</v>
      </c>
      <c r="O7">
        <v>1.0269999999999999</v>
      </c>
      <c r="P7">
        <v>3.2280000000000002</v>
      </c>
      <c r="Q7">
        <v>0</v>
      </c>
      <c r="R7">
        <v>82.301000000000002</v>
      </c>
      <c r="S7">
        <v>52</v>
      </c>
      <c r="T7">
        <v>19.7</v>
      </c>
    </row>
    <row r="8" spans="1:21" x14ac:dyDescent="0.3">
      <c r="A8" t="s">
        <v>674</v>
      </c>
      <c r="B8">
        <v>252.59200000000001</v>
      </c>
      <c r="C8">
        <v>58.552</v>
      </c>
      <c r="D8">
        <v>53.412999999999997</v>
      </c>
      <c r="E8">
        <v>0.52800000000000002</v>
      </c>
      <c r="F8">
        <v>80.539000000000001</v>
      </c>
      <c r="G8">
        <v>8.4060000000000006</v>
      </c>
      <c r="H8">
        <v>139.74700000000001</v>
      </c>
      <c r="I8">
        <v>30.01</v>
      </c>
      <c r="J8">
        <v>5.8929999999999998</v>
      </c>
      <c r="K8">
        <v>230.191</v>
      </c>
      <c r="L8">
        <v>8.5299999999999994</v>
      </c>
      <c r="M8">
        <v>52.463000000000001</v>
      </c>
      <c r="N8">
        <v>8.484</v>
      </c>
      <c r="O8">
        <v>1.0149999999999999</v>
      </c>
      <c r="P8">
        <v>3.2240000000000002</v>
      </c>
      <c r="Q8">
        <v>0</v>
      </c>
      <c r="R8">
        <v>82.281000000000006</v>
      </c>
      <c r="S8">
        <v>52</v>
      </c>
      <c r="T8">
        <v>19.7</v>
      </c>
    </row>
    <row r="9" spans="1:21" x14ac:dyDescent="0.3">
      <c r="A9" t="s">
        <v>675</v>
      </c>
      <c r="B9">
        <v>253.167</v>
      </c>
      <c r="C9">
        <v>58.567999999999998</v>
      </c>
      <c r="D9">
        <v>53.4</v>
      </c>
      <c r="E9">
        <v>0.502</v>
      </c>
      <c r="F9">
        <v>80.260000000000005</v>
      </c>
      <c r="G9">
        <v>8.2390000000000008</v>
      </c>
      <c r="H9">
        <v>139.869</v>
      </c>
      <c r="I9">
        <v>30.199000000000002</v>
      </c>
      <c r="J9">
        <v>5.8970000000000002</v>
      </c>
      <c r="K9">
        <v>230.42099999999999</v>
      </c>
      <c r="L9">
        <v>8.5269999999999992</v>
      </c>
      <c r="M9">
        <v>52.423999999999999</v>
      </c>
      <c r="N9">
        <v>8.4949999999999992</v>
      </c>
      <c r="O9">
        <v>1.0169999999999999</v>
      </c>
      <c r="P9">
        <v>3.222</v>
      </c>
      <c r="Q9">
        <v>0</v>
      </c>
      <c r="R9">
        <v>82.275999999999996</v>
      </c>
      <c r="S9">
        <v>52</v>
      </c>
      <c r="T9">
        <v>19.7</v>
      </c>
    </row>
    <row r="10" spans="1:21" x14ac:dyDescent="0.3">
      <c r="A10" t="s">
        <v>676</v>
      </c>
      <c r="B10">
        <v>252.62899999999999</v>
      </c>
      <c r="C10">
        <v>58.570999999999998</v>
      </c>
      <c r="D10">
        <v>53.374000000000002</v>
      </c>
      <c r="E10">
        <v>0.40200000000000002</v>
      </c>
      <c r="F10">
        <v>80.125</v>
      </c>
      <c r="G10">
        <v>7.984</v>
      </c>
      <c r="H10">
        <v>139.87299999999999</v>
      </c>
      <c r="I10">
        <v>30.103999999999999</v>
      </c>
      <c r="J10">
        <v>5.8929999999999998</v>
      </c>
      <c r="K10">
        <v>230.24</v>
      </c>
      <c r="L10">
        <v>8.5370000000000008</v>
      </c>
      <c r="M10">
        <v>52.423999999999999</v>
      </c>
      <c r="N10">
        <v>8.4830000000000005</v>
      </c>
      <c r="O10">
        <v>1.0249999999999999</v>
      </c>
      <c r="P10">
        <v>3.2330000000000001</v>
      </c>
      <c r="Q10">
        <v>0</v>
      </c>
      <c r="R10">
        <v>82.296000000000006</v>
      </c>
      <c r="S10">
        <v>51.9</v>
      </c>
      <c r="T10">
        <v>19.7</v>
      </c>
    </row>
    <row r="11" spans="1:21" x14ac:dyDescent="0.3">
      <c r="A11" t="s">
        <v>677</v>
      </c>
      <c r="B11">
        <v>252.376</v>
      </c>
      <c r="C11">
        <v>58.575000000000003</v>
      </c>
      <c r="D11">
        <v>53.436</v>
      </c>
      <c r="E11">
        <v>0.46100000000000002</v>
      </c>
      <c r="F11">
        <v>80.075999999999993</v>
      </c>
      <c r="G11">
        <v>8.2140000000000004</v>
      </c>
      <c r="H11">
        <v>139.72399999999999</v>
      </c>
      <c r="I11">
        <v>29.829000000000001</v>
      </c>
      <c r="J11">
        <v>5.899</v>
      </c>
      <c r="K11">
        <v>230.339</v>
      </c>
      <c r="L11">
        <v>8.5259999999999998</v>
      </c>
      <c r="M11">
        <v>52.366</v>
      </c>
      <c r="N11">
        <v>8.4870000000000001</v>
      </c>
      <c r="O11">
        <v>1.0309999999999999</v>
      </c>
      <c r="P11">
        <v>3.22</v>
      </c>
      <c r="Q11">
        <v>0</v>
      </c>
      <c r="R11">
        <v>82.301000000000002</v>
      </c>
      <c r="S11">
        <v>51.8</v>
      </c>
      <c r="T11">
        <v>19.7</v>
      </c>
    </row>
    <row r="12" spans="1:21" x14ac:dyDescent="0.3">
      <c r="A12" t="s">
        <v>678</v>
      </c>
      <c r="B12">
        <v>252.232</v>
      </c>
      <c r="C12">
        <v>58.575000000000003</v>
      </c>
      <c r="D12">
        <v>53.39</v>
      </c>
      <c r="E12">
        <v>0.51500000000000001</v>
      </c>
      <c r="F12">
        <v>80.236999999999995</v>
      </c>
      <c r="G12">
        <v>8.3130000000000006</v>
      </c>
      <c r="H12">
        <v>139.911</v>
      </c>
      <c r="I12">
        <v>30.021999999999998</v>
      </c>
      <c r="J12">
        <v>5.8959999999999999</v>
      </c>
      <c r="K12">
        <v>230.22399999999999</v>
      </c>
      <c r="L12">
        <v>8.5359999999999996</v>
      </c>
      <c r="M12">
        <v>52.43</v>
      </c>
      <c r="N12">
        <v>8.484</v>
      </c>
      <c r="O12">
        <v>1.0089999999999999</v>
      </c>
      <c r="P12">
        <v>3.2330000000000001</v>
      </c>
      <c r="Q12">
        <v>0</v>
      </c>
      <c r="R12">
        <v>82.32</v>
      </c>
      <c r="S12">
        <v>52</v>
      </c>
      <c r="T12">
        <v>19.7</v>
      </c>
    </row>
    <row r="13" spans="1:21" x14ac:dyDescent="0.3">
      <c r="A13" t="s">
        <v>679</v>
      </c>
      <c r="B13">
        <v>253.137</v>
      </c>
      <c r="C13">
        <v>58.591000000000001</v>
      </c>
      <c r="D13">
        <v>53.41</v>
      </c>
      <c r="E13">
        <v>0.42099999999999999</v>
      </c>
      <c r="F13">
        <v>79.123000000000005</v>
      </c>
      <c r="G13">
        <v>8.4309999999999992</v>
      </c>
      <c r="H13">
        <v>139.886</v>
      </c>
      <c r="I13">
        <v>30.215</v>
      </c>
      <c r="J13">
        <v>5.8970000000000002</v>
      </c>
      <c r="K13">
        <v>230.28899999999999</v>
      </c>
      <c r="L13">
        <v>8.532</v>
      </c>
      <c r="M13">
        <v>52.338999999999999</v>
      </c>
      <c r="N13">
        <v>8.4819999999999993</v>
      </c>
      <c r="O13">
        <v>1</v>
      </c>
      <c r="P13">
        <v>3.24</v>
      </c>
      <c r="Q13">
        <v>0</v>
      </c>
      <c r="R13">
        <v>82.34</v>
      </c>
      <c r="S13">
        <v>51.9</v>
      </c>
      <c r="T13">
        <v>19.7</v>
      </c>
    </row>
    <row r="14" spans="1:21" x14ac:dyDescent="0.3">
      <c r="A14" t="s">
        <v>680</v>
      </c>
      <c r="B14">
        <v>253.137</v>
      </c>
      <c r="C14">
        <v>58.581000000000003</v>
      </c>
      <c r="D14">
        <v>53.542000000000002</v>
      </c>
      <c r="E14">
        <v>0.50800000000000001</v>
      </c>
      <c r="F14">
        <v>80.203999999999994</v>
      </c>
      <c r="G14">
        <v>8.2850000000000001</v>
      </c>
      <c r="H14">
        <v>139.667</v>
      </c>
      <c r="I14">
        <v>29.846</v>
      </c>
      <c r="J14">
        <v>5.8970000000000002</v>
      </c>
      <c r="K14">
        <v>230.273</v>
      </c>
      <c r="L14">
        <v>8.5370000000000008</v>
      </c>
      <c r="M14">
        <v>52.465000000000003</v>
      </c>
      <c r="N14">
        <v>8.4920000000000009</v>
      </c>
      <c r="O14">
        <v>1.004</v>
      </c>
      <c r="P14">
        <v>3.242</v>
      </c>
      <c r="Q14">
        <v>0</v>
      </c>
      <c r="R14">
        <v>82.34</v>
      </c>
      <c r="S14">
        <v>51.9</v>
      </c>
      <c r="T14">
        <v>19.7</v>
      </c>
    </row>
    <row r="15" spans="1:21" x14ac:dyDescent="0.3">
      <c r="A15" t="s">
        <v>681</v>
      </c>
      <c r="B15">
        <v>252.429</v>
      </c>
      <c r="C15">
        <v>58.570999999999998</v>
      </c>
      <c r="D15">
        <v>53.478999999999999</v>
      </c>
      <c r="E15">
        <v>0.51</v>
      </c>
      <c r="F15">
        <v>78.903000000000006</v>
      </c>
      <c r="G15">
        <v>8.1579999999999995</v>
      </c>
      <c r="H15">
        <v>139.90299999999999</v>
      </c>
      <c r="I15">
        <v>29.8</v>
      </c>
      <c r="J15">
        <v>5.8940000000000001</v>
      </c>
      <c r="K15">
        <v>230.30600000000001</v>
      </c>
      <c r="L15">
        <v>8.5269999999999992</v>
      </c>
      <c r="M15">
        <v>52.350999999999999</v>
      </c>
      <c r="N15">
        <v>8.484</v>
      </c>
      <c r="O15">
        <v>1.0309999999999999</v>
      </c>
      <c r="P15">
        <v>3.2290000000000001</v>
      </c>
      <c r="Q15">
        <v>0</v>
      </c>
      <c r="R15">
        <v>82.316999999999993</v>
      </c>
      <c r="S15">
        <v>51.8</v>
      </c>
      <c r="T15">
        <v>19.7</v>
      </c>
    </row>
    <row r="16" spans="1:21" x14ac:dyDescent="0.3">
      <c r="A16" t="s">
        <v>682</v>
      </c>
      <c r="B16">
        <v>252.45699999999999</v>
      </c>
      <c r="C16">
        <v>58.548000000000002</v>
      </c>
      <c r="D16">
        <v>53.512</v>
      </c>
      <c r="E16">
        <v>0.42199999999999999</v>
      </c>
      <c r="F16">
        <v>79.563999999999993</v>
      </c>
      <c r="G16">
        <v>8.7880000000000003</v>
      </c>
      <c r="H16">
        <v>139.84800000000001</v>
      </c>
      <c r="I16">
        <v>30.071000000000002</v>
      </c>
      <c r="J16">
        <v>5.8970000000000002</v>
      </c>
      <c r="K16">
        <v>230.38800000000001</v>
      </c>
      <c r="L16">
        <v>8.484</v>
      </c>
      <c r="M16">
        <v>52.426000000000002</v>
      </c>
      <c r="N16">
        <v>8.4819999999999993</v>
      </c>
      <c r="O16">
        <v>1.0509999999999999</v>
      </c>
      <c r="P16">
        <v>3.2170000000000001</v>
      </c>
      <c r="Q16">
        <v>0</v>
      </c>
      <c r="R16">
        <v>82.340999999999994</v>
      </c>
      <c r="S16">
        <v>51.9</v>
      </c>
      <c r="T16">
        <v>19.7</v>
      </c>
    </row>
    <row r="17" spans="1:20" x14ac:dyDescent="0.3">
      <c r="A17" t="s">
        <v>683</v>
      </c>
      <c r="B17">
        <v>251.98</v>
      </c>
      <c r="C17">
        <v>58.518999999999998</v>
      </c>
      <c r="D17">
        <v>53.499000000000002</v>
      </c>
      <c r="E17">
        <v>0.51600000000000001</v>
      </c>
      <c r="F17">
        <v>79.352999999999994</v>
      </c>
      <c r="G17">
        <v>8.7810000000000006</v>
      </c>
      <c r="H17">
        <v>141.81899999999999</v>
      </c>
      <c r="I17">
        <v>30.228000000000002</v>
      </c>
      <c r="J17">
        <v>5.8940000000000001</v>
      </c>
      <c r="K17">
        <v>230.42099999999999</v>
      </c>
      <c r="L17">
        <v>8.6319999999999997</v>
      </c>
      <c r="M17">
        <v>52.457000000000001</v>
      </c>
      <c r="N17">
        <v>8.4849999999999994</v>
      </c>
      <c r="O17">
        <v>1.0189999999999999</v>
      </c>
      <c r="P17">
        <v>3.2149999999999999</v>
      </c>
      <c r="Q17">
        <v>0</v>
      </c>
      <c r="R17">
        <v>82.322000000000003</v>
      </c>
      <c r="S17">
        <v>52</v>
      </c>
      <c r="T17">
        <v>19.7</v>
      </c>
    </row>
    <row r="18" spans="1:20" x14ac:dyDescent="0.3">
      <c r="A18" t="s">
        <v>684</v>
      </c>
      <c r="B18">
        <v>252.38800000000001</v>
      </c>
      <c r="C18">
        <v>58.347999999999999</v>
      </c>
      <c r="D18">
        <v>53.485999999999997</v>
      </c>
      <c r="E18">
        <v>0.503</v>
      </c>
      <c r="F18">
        <v>79.771000000000001</v>
      </c>
      <c r="G18">
        <v>8.2620000000000005</v>
      </c>
      <c r="H18">
        <v>139.52199999999999</v>
      </c>
      <c r="I18">
        <v>29.684999999999999</v>
      </c>
      <c r="J18">
        <v>5.899</v>
      </c>
      <c r="K18">
        <v>230.50299999999999</v>
      </c>
      <c r="L18">
        <v>8.6609999999999996</v>
      </c>
      <c r="M18">
        <v>52.354999999999997</v>
      </c>
      <c r="N18">
        <v>8.484</v>
      </c>
      <c r="O18">
        <v>0.99199999999999999</v>
      </c>
      <c r="P18">
        <v>3.24</v>
      </c>
      <c r="Q18">
        <v>0</v>
      </c>
      <c r="R18">
        <v>82.353999999999999</v>
      </c>
      <c r="S18">
        <v>52</v>
      </c>
      <c r="T18">
        <v>19.7</v>
      </c>
    </row>
    <row r="19" spans="1:20" x14ac:dyDescent="0.3">
      <c r="A19" t="s">
        <v>685</v>
      </c>
      <c r="B19">
        <v>252.51499999999999</v>
      </c>
      <c r="C19">
        <v>58.502000000000002</v>
      </c>
      <c r="D19">
        <v>53.542000000000002</v>
      </c>
      <c r="E19">
        <v>0.44400000000000001</v>
      </c>
      <c r="F19">
        <v>79.304000000000002</v>
      </c>
      <c r="G19">
        <v>8.2469999999999999</v>
      </c>
      <c r="H19">
        <v>139.88</v>
      </c>
      <c r="I19">
        <v>29.841999999999999</v>
      </c>
      <c r="J19">
        <v>5.8929999999999998</v>
      </c>
      <c r="K19">
        <v>230.37200000000001</v>
      </c>
      <c r="L19">
        <v>8.609</v>
      </c>
      <c r="M19">
        <v>52.411999999999999</v>
      </c>
      <c r="N19">
        <v>8.4909999999999997</v>
      </c>
      <c r="O19">
        <v>1.02</v>
      </c>
      <c r="P19">
        <v>3.234</v>
      </c>
      <c r="Q19">
        <v>0</v>
      </c>
      <c r="R19">
        <v>82.363</v>
      </c>
      <c r="S19">
        <v>51.8</v>
      </c>
      <c r="T19">
        <v>19.7</v>
      </c>
    </row>
    <row r="20" spans="1:20" x14ac:dyDescent="0.3">
      <c r="A20" t="s">
        <v>686</v>
      </c>
      <c r="B20">
        <v>252.71700000000001</v>
      </c>
      <c r="C20">
        <v>58.496000000000002</v>
      </c>
      <c r="D20">
        <v>53.469000000000001</v>
      </c>
      <c r="E20">
        <v>0.51900000000000002</v>
      </c>
      <c r="F20">
        <v>79.866</v>
      </c>
      <c r="G20">
        <v>8.2040000000000006</v>
      </c>
      <c r="H20">
        <v>139.54400000000001</v>
      </c>
      <c r="I20">
        <v>30.042999999999999</v>
      </c>
      <c r="J20">
        <v>5.8940000000000001</v>
      </c>
      <c r="K20">
        <v>230.42099999999999</v>
      </c>
      <c r="L20">
        <v>8.6780000000000008</v>
      </c>
      <c r="M20">
        <v>52.276000000000003</v>
      </c>
      <c r="N20">
        <v>8.4830000000000005</v>
      </c>
      <c r="O20">
        <v>1.0269999999999999</v>
      </c>
      <c r="P20">
        <v>3.2229999999999999</v>
      </c>
      <c r="Q20">
        <v>0</v>
      </c>
      <c r="R20">
        <v>82.388999999999996</v>
      </c>
      <c r="S20">
        <v>51.8</v>
      </c>
      <c r="T20">
        <v>19.7</v>
      </c>
    </row>
    <row r="21" spans="1:20" x14ac:dyDescent="0.3">
      <c r="A21" t="s">
        <v>687</v>
      </c>
      <c r="B21">
        <v>252.78100000000001</v>
      </c>
      <c r="C21">
        <v>58.515000000000001</v>
      </c>
      <c r="D21">
        <v>53.64</v>
      </c>
      <c r="E21">
        <v>0.436</v>
      </c>
      <c r="F21">
        <v>80.48</v>
      </c>
      <c r="G21">
        <v>8.0890000000000004</v>
      </c>
      <c r="H21">
        <v>139.67500000000001</v>
      </c>
      <c r="I21">
        <v>29.611999999999998</v>
      </c>
      <c r="J21">
        <v>5.8879999999999999</v>
      </c>
      <c r="K21">
        <v>230.07599999999999</v>
      </c>
      <c r="L21">
        <v>8.5210000000000008</v>
      </c>
      <c r="M21">
        <v>52.356999999999999</v>
      </c>
      <c r="N21">
        <v>8.4860000000000007</v>
      </c>
      <c r="O21">
        <v>1.0209999999999999</v>
      </c>
      <c r="P21">
        <v>3.2320000000000002</v>
      </c>
      <c r="Q21">
        <v>0</v>
      </c>
      <c r="R21">
        <v>82.376999999999995</v>
      </c>
      <c r="S21">
        <v>52</v>
      </c>
      <c r="T21">
        <v>19.7</v>
      </c>
    </row>
    <row r="22" spans="1:20" x14ac:dyDescent="0.3">
      <c r="A22" t="s">
        <v>688</v>
      </c>
      <c r="B22">
        <v>252.13499999999999</v>
      </c>
      <c r="C22">
        <v>58.515000000000001</v>
      </c>
      <c r="D22">
        <v>53.581000000000003</v>
      </c>
      <c r="E22">
        <v>0.46600000000000003</v>
      </c>
      <c r="F22">
        <v>80.792000000000002</v>
      </c>
      <c r="G22">
        <v>8.2089999999999996</v>
      </c>
      <c r="H22">
        <v>139.881</v>
      </c>
      <c r="I22">
        <v>29.87</v>
      </c>
      <c r="J22">
        <v>5.899</v>
      </c>
      <c r="K22">
        <v>230.50299999999999</v>
      </c>
      <c r="L22">
        <v>8.5399999999999991</v>
      </c>
      <c r="M22">
        <v>52.308999999999997</v>
      </c>
      <c r="N22">
        <v>8.4830000000000005</v>
      </c>
      <c r="O22">
        <v>1.018</v>
      </c>
      <c r="P22">
        <v>3.2149999999999999</v>
      </c>
      <c r="Q22">
        <v>0</v>
      </c>
      <c r="R22">
        <v>82.382000000000005</v>
      </c>
      <c r="S22">
        <v>51.7</v>
      </c>
      <c r="T22">
        <v>19.7</v>
      </c>
    </row>
    <row r="23" spans="1:20" x14ac:dyDescent="0.3">
      <c r="A23" t="s">
        <v>689</v>
      </c>
      <c r="B23">
        <v>252.37</v>
      </c>
      <c r="C23">
        <v>58.475999999999999</v>
      </c>
      <c r="D23">
        <v>53.749000000000002</v>
      </c>
      <c r="E23">
        <v>0.504</v>
      </c>
      <c r="F23">
        <v>81.009</v>
      </c>
      <c r="G23">
        <v>8.3239999999999998</v>
      </c>
      <c r="H23">
        <v>139.87299999999999</v>
      </c>
      <c r="I23">
        <v>30.527000000000001</v>
      </c>
      <c r="J23">
        <v>5.891</v>
      </c>
      <c r="K23">
        <v>230.09200000000001</v>
      </c>
      <c r="L23">
        <v>8.516</v>
      </c>
      <c r="M23">
        <v>52.368000000000002</v>
      </c>
      <c r="N23">
        <v>8.4819999999999993</v>
      </c>
      <c r="O23">
        <v>1.0309999999999999</v>
      </c>
      <c r="P23">
        <v>3.218</v>
      </c>
      <c r="Q23">
        <v>0</v>
      </c>
      <c r="R23">
        <v>82.409000000000006</v>
      </c>
      <c r="S23">
        <v>51.8</v>
      </c>
      <c r="T23">
        <v>19.7</v>
      </c>
    </row>
    <row r="24" spans="1:20" x14ac:dyDescent="0.3">
      <c r="A24" t="s">
        <v>690</v>
      </c>
      <c r="B24">
        <v>252.285</v>
      </c>
      <c r="C24">
        <v>58.531999999999996</v>
      </c>
      <c r="D24">
        <v>53.683</v>
      </c>
      <c r="E24">
        <v>0.43099999999999999</v>
      </c>
      <c r="F24">
        <v>80.185000000000002</v>
      </c>
      <c r="G24">
        <v>8.4380000000000006</v>
      </c>
      <c r="H24">
        <v>139.84700000000001</v>
      </c>
      <c r="I24">
        <v>29.832999999999998</v>
      </c>
      <c r="J24">
        <v>5.9</v>
      </c>
      <c r="K24">
        <v>230.7</v>
      </c>
      <c r="L24">
        <v>8.5459999999999994</v>
      </c>
      <c r="M24">
        <v>52.497</v>
      </c>
      <c r="N24">
        <v>8.4830000000000005</v>
      </c>
      <c r="O24">
        <v>1.0149999999999999</v>
      </c>
      <c r="P24">
        <v>3.2429999999999999</v>
      </c>
      <c r="Q24">
        <v>0</v>
      </c>
      <c r="R24">
        <v>82.387</v>
      </c>
      <c r="S24">
        <v>51.8</v>
      </c>
      <c r="T24">
        <v>19.7</v>
      </c>
    </row>
    <row r="25" spans="1:20" ht="15" thickBot="1" x14ac:dyDescent="0.35">
      <c r="A25" t="s">
        <v>691</v>
      </c>
      <c r="B25">
        <v>251.69300000000001</v>
      </c>
      <c r="C25">
        <v>58.509</v>
      </c>
      <c r="D25">
        <v>53.662999999999997</v>
      </c>
      <c r="E25">
        <v>0.503</v>
      </c>
      <c r="F25">
        <v>80.286000000000001</v>
      </c>
      <c r="G25">
        <v>8.61</v>
      </c>
      <c r="H25">
        <v>139.88300000000001</v>
      </c>
      <c r="I25">
        <v>29.698</v>
      </c>
      <c r="J25">
        <v>5.89</v>
      </c>
      <c r="K25">
        <v>230.28899999999999</v>
      </c>
      <c r="L25">
        <v>8.5280000000000005</v>
      </c>
      <c r="M25">
        <v>52.323</v>
      </c>
      <c r="N25">
        <v>8.4849999999999994</v>
      </c>
      <c r="O25">
        <v>0.99099999999999999</v>
      </c>
      <c r="P25">
        <v>3.2519999999999998</v>
      </c>
      <c r="Q25">
        <v>0</v>
      </c>
      <c r="R25">
        <v>82.388999999999996</v>
      </c>
      <c r="S25">
        <v>51.7</v>
      </c>
      <c r="T25">
        <v>19.7</v>
      </c>
    </row>
    <row r="26" spans="1:20" ht="15" thickBot="1" x14ac:dyDescent="0.35">
      <c r="A26" t="s">
        <v>0</v>
      </c>
      <c r="B26" s="1">
        <f t="shared" ref="B26:S26" si="0">AVERAGE(B6:B25)</f>
        <v>252.49299999999999</v>
      </c>
      <c r="C26" s="1">
        <f t="shared" si="0"/>
        <v>58.532349999999987</v>
      </c>
      <c r="D26" s="1">
        <f t="shared" si="0"/>
        <v>53.497800000000005</v>
      </c>
      <c r="E26" s="10">
        <f t="shared" si="0"/>
        <v>0.47304999999999992</v>
      </c>
      <c r="F26" s="1">
        <f t="shared" si="0"/>
        <v>79.944800000000001</v>
      </c>
      <c r="G26" s="1">
        <f t="shared" si="0"/>
        <v>8.3239000000000001</v>
      </c>
      <c r="H26" s="10">
        <f t="shared" si="0"/>
        <v>139.90504999999999</v>
      </c>
      <c r="I26" s="1">
        <f t="shared" si="0"/>
        <v>29.973900000000004</v>
      </c>
      <c r="J26" s="8">
        <f t="shared" si="0"/>
        <v>5.8946500000000013</v>
      </c>
      <c r="K26" s="1">
        <f t="shared" si="0"/>
        <v>230.32229999999996</v>
      </c>
      <c r="L26" s="1">
        <f t="shared" si="0"/>
        <v>8.5515499999999989</v>
      </c>
      <c r="M26" s="1">
        <f t="shared" si="0"/>
        <v>52.388999999999996</v>
      </c>
      <c r="N26" s="1">
        <f t="shared" si="0"/>
        <v>8.4850999999999992</v>
      </c>
      <c r="O26" s="1">
        <f t="shared" si="0"/>
        <v>1.0181</v>
      </c>
      <c r="P26" s="1">
        <f t="shared" si="0"/>
        <v>3.2299000000000007</v>
      </c>
      <c r="Q26" s="1">
        <f t="shared" si="0"/>
        <v>0</v>
      </c>
      <c r="R26" s="1">
        <f t="shared" si="0"/>
        <v>82.337699999999998</v>
      </c>
      <c r="S26" s="1">
        <f t="shared" si="0"/>
        <v>51.889999999999986</v>
      </c>
      <c r="T26" s="8">
        <f>AVERAGE(T6:T25)</f>
        <v>19.699999999999996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2.2118000000000007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3082-AA45-439E-903D-B2336CDCA138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7" sqref="M37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0.48715277777777777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40.597067969791212</v>
      </c>
      <c r="M2" s="8">
        <f>(H26*0.001*60)*(K2/100)*(G2/I2)</f>
        <v>2.550930684876564</v>
      </c>
      <c r="O2" s="9">
        <f>100*((E26*C2)/((E26*C2)+(M2*E2)))</f>
        <v>14.638511885136893</v>
      </c>
      <c r="Q2" s="10">
        <f>100*J26*(1/(((C2/3.6)*E26)+((E2/3.6)*M2)))</f>
        <v>19.043101125378133</v>
      </c>
      <c r="S2" s="6">
        <v>3.54</v>
      </c>
      <c r="U2" s="10">
        <f>100*((((G26*0.001*60)*(C26-D26)*(S2/3.6)))/(((C2/3.6)*E26)+((E2/3.6)*M2)))</f>
        <v>-2.140855830742356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692</v>
      </c>
      <c r="B6">
        <v>294.10500000000002</v>
      </c>
      <c r="C6">
        <v>59.293999999999997</v>
      </c>
      <c r="D6">
        <v>60.326000000000001</v>
      </c>
      <c r="E6">
        <v>0.46600000000000003</v>
      </c>
      <c r="F6">
        <v>81.590999999999994</v>
      </c>
      <c r="G6">
        <v>13.706</v>
      </c>
      <c r="H6">
        <v>146.52699999999999</v>
      </c>
      <c r="I6">
        <v>27.238</v>
      </c>
      <c r="J6">
        <v>7.9050000000000002</v>
      </c>
      <c r="K6">
        <v>230.35499999999999</v>
      </c>
      <c r="L6">
        <v>11.442</v>
      </c>
      <c r="M6">
        <v>52.302999999999997</v>
      </c>
      <c r="N6">
        <v>11.388</v>
      </c>
      <c r="O6">
        <v>1.03</v>
      </c>
      <c r="P6">
        <v>3.11</v>
      </c>
      <c r="Q6">
        <v>0</v>
      </c>
      <c r="R6">
        <v>83.561999999999998</v>
      </c>
      <c r="S6">
        <v>57.1</v>
      </c>
      <c r="T6">
        <v>23.3</v>
      </c>
    </row>
    <row r="7" spans="1:21" x14ac:dyDescent="0.3">
      <c r="A7" t="s">
        <v>693</v>
      </c>
      <c r="B7">
        <v>293.86900000000003</v>
      </c>
      <c r="C7">
        <v>59.323999999999998</v>
      </c>
      <c r="D7">
        <v>60.354999999999997</v>
      </c>
      <c r="E7">
        <v>0.54700000000000004</v>
      </c>
      <c r="F7">
        <v>81.156999999999996</v>
      </c>
      <c r="G7">
        <v>13.231999999999999</v>
      </c>
      <c r="H7">
        <v>146.566</v>
      </c>
      <c r="I7">
        <v>27.405999999999999</v>
      </c>
      <c r="J7">
        <v>7.9109999999999996</v>
      </c>
      <c r="K7">
        <v>230.667</v>
      </c>
      <c r="L7">
        <v>11.457000000000001</v>
      </c>
      <c r="M7">
        <v>52.411999999999999</v>
      </c>
      <c r="N7">
        <v>11.385999999999999</v>
      </c>
      <c r="O7">
        <v>1.0189999999999999</v>
      </c>
      <c r="P7">
        <v>3.1240000000000001</v>
      </c>
      <c r="Q7">
        <v>0</v>
      </c>
      <c r="R7">
        <v>83.54</v>
      </c>
      <c r="S7">
        <v>57.2</v>
      </c>
      <c r="T7">
        <v>23.3</v>
      </c>
    </row>
    <row r="8" spans="1:21" x14ac:dyDescent="0.3">
      <c r="A8" t="s">
        <v>694</v>
      </c>
      <c r="B8">
        <v>293.99900000000002</v>
      </c>
      <c r="C8">
        <v>59.418999999999997</v>
      </c>
      <c r="D8">
        <v>60.420999999999999</v>
      </c>
      <c r="E8">
        <v>0.48699999999999999</v>
      </c>
      <c r="F8">
        <v>81.593999999999994</v>
      </c>
      <c r="G8">
        <v>13.144</v>
      </c>
      <c r="H8">
        <v>146.53299999999999</v>
      </c>
      <c r="I8">
        <v>27.18</v>
      </c>
      <c r="J8">
        <v>7.907</v>
      </c>
      <c r="K8">
        <v>230.45400000000001</v>
      </c>
      <c r="L8">
        <v>11.448</v>
      </c>
      <c r="M8">
        <v>52.344999999999999</v>
      </c>
      <c r="N8">
        <v>11.388999999999999</v>
      </c>
      <c r="O8">
        <v>1.0369999999999999</v>
      </c>
      <c r="P8">
        <v>3.1059999999999999</v>
      </c>
      <c r="Q8">
        <v>0</v>
      </c>
      <c r="R8">
        <v>83.537999999999997</v>
      </c>
      <c r="S8">
        <v>57.2</v>
      </c>
      <c r="T8">
        <v>23.3</v>
      </c>
    </row>
    <row r="9" spans="1:21" x14ac:dyDescent="0.3">
      <c r="A9" t="s">
        <v>695</v>
      </c>
      <c r="B9">
        <v>293.99799999999999</v>
      </c>
      <c r="C9">
        <v>59.421999999999997</v>
      </c>
      <c r="D9">
        <v>60.302999999999997</v>
      </c>
      <c r="E9">
        <v>0.57399999999999995</v>
      </c>
      <c r="F9">
        <v>81.570999999999998</v>
      </c>
      <c r="G9">
        <v>13.48</v>
      </c>
      <c r="H9">
        <v>146.697</v>
      </c>
      <c r="I9">
        <v>27.603000000000002</v>
      </c>
      <c r="J9">
        <v>7.9130000000000003</v>
      </c>
      <c r="K9">
        <v>230.7</v>
      </c>
      <c r="L9">
        <v>11.455</v>
      </c>
      <c r="M9">
        <v>52.337000000000003</v>
      </c>
      <c r="N9">
        <v>11.39</v>
      </c>
      <c r="O9">
        <v>1.0229999999999999</v>
      </c>
      <c r="P9">
        <v>3.1120000000000001</v>
      </c>
      <c r="Q9">
        <v>0</v>
      </c>
      <c r="R9">
        <v>83.555999999999997</v>
      </c>
      <c r="S9">
        <v>57</v>
      </c>
      <c r="T9">
        <v>23.3</v>
      </c>
    </row>
    <row r="10" spans="1:21" x14ac:dyDescent="0.3">
      <c r="A10" t="s">
        <v>696</v>
      </c>
      <c r="B10">
        <v>293.63600000000002</v>
      </c>
      <c r="C10">
        <v>59.372999999999998</v>
      </c>
      <c r="D10">
        <v>60.332000000000001</v>
      </c>
      <c r="E10">
        <v>0.497</v>
      </c>
      <c r="F10">
        <v>81.893000000000001</v>
      </c>
      <c r="G10">
        <v>13.615</v>
      </c>
      <c r="H10">
        <v>146.65700000000001</v>
      </c>
      <c r="I10">
        <v>27.216999999999999</v>
      </c>
      <c r="J10">
        <v>7.9029999999999996</v>
      </c>
      <c r="K10">
        <v>230.24</v>
      </c>
      <c r="L10">
        <v>11.433</v>
      </c>
      <c r="M10">
        <v>52.295000000000002</v>
      </c>
      <c r="N10">
        <v>11.387</v>
      </c>
      <c r="O10">
        <v>1.03</v>
      </c>
      <c r="P10">
        <v>3.1309999999999998</v>
      </c>
      <c r="Q10">
        <v>0</v>
      </c>
      <c r="R10">
        <v>83.551000000000002</v>
      </c>
      <c r="S10">
        <v>57.2</v>
      </c>
      <c r="T10">
        <v>23.3</v>
      </c>
    </row>
    <row r="11" spans="1:21" x14ac:dyDescent="0.3">
      <c r="A11" t="s">
        <v>697</v>
      </c>
      <c r="B11">
        <v>293.42099999999999</v>
      </c>
      <c r="C11">
        <v>59.383000000000003</v>
      </c>
      <c r="D11">
        <v>60.408000000000001</v>
      </c>
      <c r="E11">
        <v>0.49099999999999999</v>
      </c>
      <c r="F11">
        <v>81.337999999999994</v>
      </c>
      <c r="G11">
        <v>13.353999999999999</v>
      </c>
      <c r="H11">
        <v>146.69900000000001</v>
      </c>
      <c r="I11">
        <v>27.664999999999999</v>
      </c>
      <c r="J11">
        <v>7.9130000000000003</v>
      </c>
      <c r="K11">
        <v>230.7</v>
      </c>
      <c r="L11">
        <v>11.516</v>
      </c>
      <c r="M11">
        <v>52.256</v>
      </c>
      <c r="N11">
        <v>11.388</v>
      </c>
      <c r="O11">
        <v>1.0309999999999999</v>
      </c>
      <c r="P11">
        <v>3.1230000000000002</v>
      </c>
      <c r="Q11">
        <v>0</v>
      </c>
      <c r="R11">
        <v>83.540999999999997</v>
      </c>
      <c r="S11">
        <v>57.1</v>
      </c>
      <c r="T11">
        <v>23.3</v>
      </c>
    </row>
    <row r="12" spans="1:21" x14ac:dyDescent="0.3">
      <c r="A12" t="s">
        <v>698</v>
      </c>
      <c r="B12">
        <v>293.32799999999997</v>
      </c>
      <c r="C12">
        <v>59.421999999999997</v>
      </c>
      <c r="D12">
        <v>60.423999999999999</v>
      </c>
      <c r="E12">
        <v>0.51800000000000002</v>
      </c>
      <c r="F12">
        <v>80.247</v>
      </c>
      <c r="G12">
        <v>13.303000000000001</v>
      </c>
      <c r="H12">
        <v>146.744</v>
      </c>
      <c r="I12">
        <v>27.152000000000001</v>
      </c>
      <c r="J12">
        <v>7.9050000000000002</v>
      </c>
      <c r="K12">
        <v>230.339</v>
      </c>
      <c r="L12">
        <v>11.53</v>
      </c>
      <c r="M12">
        <v>52.326999999999998</v>
      </c>
      <c r="N12">
        <v>11.394</v>
      </c>
      <c r="O12">
        <v>1.044</v>
      </c>
      <c r="P12">
        <v>3.1230000000000002</v>
      </c>
      <c r="Q12">
        <v>0</v>
      </c>
      <c r="R12">
        <v>83.56</v>
      </c>
      <c r="S12">
        <v>57</v>
      </c>
      <c r="T12">
        <v>23.3</v>
      </c>
    </row>
    <row r="13" spans="1:21" x14ac:dyDescent="0.3">
      <c r="A13" t="s">
        <v>699</v>
      </c>
      <c r="B13">
        <v>293.75</v>
      </c>
      <c r="C13">
        <v>59.415999999999997</v>
      </c>
      <c r="D13">
        <v>60.552</v>
      </c>
      <c r="E13">
        <v>0.47</v>
      </c>
      <c r="F13">
        <v>81.754999999999995</v>
      </c>
      <c r="G13">
        <v>13.48</v>
      </c>
      <c r="H13">
        <v>146.65100000000001</v>
      </c>
      <c r="I13">
        <v>27.681000000000001</v>
      </c>
      <c r="J13">
        <v>7.9160000000000004</v>
      </c>
      <c r="K13">
        <v>230.733</v>
      </c>
      <c r="L13">
        <v>11.367000000000001</v>
      </c>
      <c r="M13">
        <v>52.445</v>
      </c>
      <c r="N13">
        <v>11.378</v>
      </c>
      <c r="O13">
        <v>1.0369999999999999</v>
      </c>
      <c r="P13">
        <v>3.1120000000000001</v>
      </c>
      <c r="Q13">
        <v>0</v>
      </c>
      <c r="R13">
        <v>83.55</v>
      </c>
      <c r="S13">
        <v>57.2</v>
      </c>
      <c r="T13">
        <v>23.3</v>
      </c>
    </row>
    <row r="14" spans="1:21" x14ac:dyDescent="0.3">
      <c r="A14" t="s">
        <v>700</v>
      </c>
      <c r="B14">
        <v>294.48599999999999</v>
      </c>
      <c r="C14">
        <v>59.402000000000001</v>
      </c>
      <c r="D14">
        <v>60.588000000000001</v>
      </c>
      <c r="E14">
        <v>0.56999999999999995</v>
      </c>
      <c r="F14">
        <v>80.716999999999999</v>
      </c>
      <c r="G14">
        <v>13.691000000000001</v>
      </c>
      <c r="H14">
        <v>146.41399999999999</v>
      </c>
      <c r="I14">
        <v>27.286999999999999</v>
      </c>
      <c r="J14">
        <v>7.9020000000000001</v>
      </c>
      <c r="K14">
        <v>230.28899999999999</v>
      </c>
      <c r="L14">
        <v>11.334</v>
      </c>
      <c r="M14">
        <v>52.283999999999999</v>
      </c>
      <c r="N14">
        <v>11.382</v>
      </c>
      <c r="O14">
        <v>1.0169999999999999</v>
      </c>
      <c r="P14">
        <v>3.133</v>
      </c>
      <c r="Q14">
        <v>0</v>
      </c>
      <c r="R14">
        <v>83.575000000000003</v>
      </c>
      <c r="S14">
        <v>57</v>
      </c>
      <c r="T14">
        <v>23.3</v>
      </c>
    </row>
    <row r="15" spans="1:21" x14ac:dyDescent="0.3">
      <c r="A15" t="s">
        <v>701</v>
      </c>
      <c r="B15">
        <v>294.22399999999999</v>
      </c>
      <c r="C15">
        <v>59.424999999999997</v>
      </c>
      <c r="D15">
        <v>60.686999999999998</v>
      </c>
      <c r="E15">
        <v>0.47899999999999998</v>
      </c>
      <c r="F15">
        <v>81.308000000000007</v>
      </c>
      <c r="G15">
        <v>13.863</v>
      </c>
      <c r="H15">
        <v>146.499</v>
      </c>
      <c r="I15">
        <v>27.579000000000001</v>
      </c>
      <c r="J15">
        <v>7.9130000000000003</v>
      </c>
      <c r="K15">
        <v>230.684</v>
      </c>
      <c r="L15">
        <v>11.358000000000001</v>
      </c>
      <c r="M15">
        <v>52.317</v>
      </c>
      <c r="N15">
        <v>11.385</v>
      </c>
      <c r="O15">
        <v>1.046</v>
      </c>
      <c r="P15">
        <v>3.1219999999999999</v>
      </c>
      <c r="Q15">
        <v>0</v>
      </c>
      <c r="R15">
        <v>83.572000000000003</v>
      </c>
      <c r="S15">
        <v>57.2</v>
      </c>
      <c r="T15">
        <v>23.3</v>
      </c>
    </row>
    <row r="16" spans="1:21" x14ac:dyDescent="0.3">
      <c r="A16" t="s">
        <v>702</v>
      </c>
      <c r="B16">
        <v>294.38900000000001</v>
      </c>
      <c r="C16">
        <v>59.421999999999997</v>
      </c>
      <c r="D16">
        <v>60.725999999999999</v>
      </c>
      <c r="E16">
        <v>0.56799999999999995</v>
      </c>
      <c r="F16">
        <v>82.010999999999996</v>
      </c>
      <c r="G16">
        <v>13.340999999999999</v>
      </c>
      <c r="H16">
        <v>146.642</v>
      </c>
      <c r="I16">
        <v>27.879000000000001</v>
      </c>
      <c r="J16">
        <v>7.9050000000000002</v>
      </c>
      <c r="K16">
        <v>230.404</v>
      </c>
      <c r="L16">
        <v>11.375</v>
      </c>
      <c r="M16">
        <v>52.386000000000003</v>
      </c>
      <c r="N16">
        <v>11.382999999999999</v>
      </c>
      <c r="O16">
        <v>1.0109999999999999</v>
      </c>
      <c r="P16">
        <v>3.137</v>
      </c>
      <c r="Q16">
        <v>0</v>
      </c>
      <c r="R16">
        <v>83.561000000000007</v>
      </c>
      <c r="S16">
        <v>57</v>
      </c>
      <c r="T16">
        <v>23.3</v>
      </c>
    </row>
    <row r="17" spans="1:20" x14ac:dyDescent="0.3">
      <c r="A17" t="s">
        <v>703</v>
      </c>
      <c r="B17">
        <v>294.577</v>
      </c>
      <c r="C17">
        <v>59.478000000000002</v>
      </c>
      <c r="D17">
        <v>60.759</v>
      </c>
      <c r="E17">
        <v>0.46500000000000002</v>
      </c>
      <c r="F17">
        <v>81.540999999999997</v>
      </c>
      <c r="G17">
        <v>13.595000000000001</v>
      </c>
      <c r="H17">
        <v>146.54900000000001</v>
      </c>
      <c r="I17">
        <v>27.385999999999999</v>
      </c>
      <c r="J17">
        <v>7.9160000000000004</v>
      </c>
      <c r="K17">
        <v>230.749</v>
      </c>
      <c r="L17">
        <v>11.568</v>
      </c>
      <c r="M17">
        <v>52.482999999999997</v>
      </c>
      <c r="N17">
        <v>11.385</v>
      </c>
      <c r="O17">
        <v>1.014</v>
      </c>
      <c r="P17">
        <v>3.1120000000000001</v>
      </c>
      <c r="Q17">
        <v>0</v>
      </c>
      <c r="R17">
        <v>83.57</v>
      </c>
      <c r="S17">
        <v>57.2</v>
      </c>
      <c r="T17">
        <v>23.3</v>
      </c>
    </row>
    <row r="18" spans="1:20" x14ac:dyDescent="0.3">
      <c r="A18" t="s">
        <v>704</v>
      </c>
      <c r="B18">
        <v>294.85000000000002</v>
      </c>
      <c r="C18">
        <v>59.231999999999999</v>
      </c>
      <c r="D18">
        <v>60.768999999999998</v>
      </c>
      <c r="E18">
        <v>0.52700000000000002</v>
      </c>
      <c r="F18">
        <v>81.921999999999997</v>
      </c>
      <c r="G18">
        <v>13.638</v>
      </c>
      <c r="H18">
        <v>146.673</v>
      </c>
      <c r="I18">
        <v>27.616</v>
      </c>
      <c r="J18">
        <v>7.9039999999999999</v>
      </c>
      <c r="K18">
        <v>230.339</v>
      </c>
      <c r="L18">
        <v>11.573</v>
      </c>
      <c r="M18">
        <v>52.381999999999998</v>
      </c>
      <c r="N18">
        <v>11.385999999999999</v>
      </c>
      <c r="O18">
        <v>1.048</v>
      </c>
      <c r="P18">
        <v>3.1269999999999998</v>
      </c>
      <c r="Q18">
        <v>0</v>
      </c>
      <c r="R18">
        <v>83.584000000000003</v>
      </c>
      <c r="S18">
        <v>57.2</v>
      </c>
      <c r="T18">
        <v>23.3</v>
      </c>
    </row>
    <row r="19" spans="1:20" x14ac:dyDescent="0.3">
      <c r="A19" t="s">
        <v>705</v>
      </c>
      <c r="B19">
        <v>294.26799999999997</v>
      </c>
      <c r="C19">
        <v>59.415999999999997</v>
      </c>
      <c r="D19">
        <v>60.654000000000003</v>
      </c>
      <c r="E19">
        <v>0.505</v>
      </c>
      <c r="F19">
        <v>81.498999999999995</v>
      </c>
      <c r="G19">
        <v>13.337999999999999</v>
      </c>
      <c r="H19">
        <v>146.709</v>
      </c>
      <c r="I19">
        <v>27.291</v>
      </c>
      <c r="J19">
        <v>7.9139999999999997</v>
      </c>
      <c r="K19">
        <v>230.601</v>
      </c>
      <c r="L19">
        <v>11.457000000000001</v>
      </c>
      <c r="M19">
        <v>52.323</v>
      </c>
      <c r="N19">
        <v>11.391</v>
      </c>
      <c r="O19">
        <v>1.0509999999999999</v>
      </c>
      <c r="P19">
        <v>3.1150000000000002</v>
      </c>
      <c r="Q19">
        <v>0</v>
      </c>
      <c r="R19">
        <v>83.567999999999998</v>
      </c>
      <c r="S19">
        <v>57</v>
      </c>
      <c r="T19">
        <v>23.3</v>
      </c>
    </row>
    <row r="20" spans="1:20" x14ac:dyDescent="0.3">
      <c r="A20" t="s">
        <v>706</v>
      </c>
      <c r="B20">
        <v>294.23200000000003</v>
      </c>
      <c r="C20">
        <v>59.475000000000001</v>
      </c>
      <c r="D20">
        <v>60.692999999999998</v>
      </c>
      <c r="E20">
        <v>0.51800000000000002</v>
      </c>
      <c r="F20">
        <v>79.771000000000001</v>
      </c>
      <c r="G20">
        <v>13.503</v>
      </c>
      <c r="H20">
        <v>146.66399999999999</v>
      </c>
      <c r="I20">
        <v>27.616</v>
      </c>
      <c r="J20">
        <v>7.9020000000000001</v>
      </c>
      <c r="K20">
        <v>230.273</v>
      </c>
      <c r="L20">
        <v>11.439</v>
      </c>
      <c r="M20">
        <v>52.298999999999999</v>
      </c>
      <c r="N20">
        <v>11.388999999999999</v>
      </c>
      <c r="O20">
        <v>1.048</v>
      </c>
      <c r="P20">
        <v>3.1309999999999998</v>
      </c>
      <c r="Q20">
        <v>0</v>
      </c>
      <c r="R20">
        <v>83.596999999999994</v>
      </c>
      <c r="S20">
        <v>57.2</v>
      </c>
      <c r="T20">
        <v>23.3</v>
      </c>
    </row>
    <row r="21" spans="1:20" x14ac:dyDescent="0.3">
      <c r="A21" t="s">
        <v>707</v>
      </c>
      <c r="B21">
        <v>294.11</v>
      </c>
      <c r="C21">
        <v>59.478000000000002</v>
      </c>
      <c r="D21">
        <v>60.640999999999998</v>
      </c>
      <c r="E21">
        <v>0.53500000000000003</v>
      </c>
      <c r="F21">
        <v>81.489000000000004</v>
      </c>
      <c r="G21">
        <v>13.805999999999999</v>
      </c>
      <c r="H21">
        <v>146.59800000000001</v>
      </c>
      <c r="I21">
        <v>27.172000000000001</v>
      </c>
      <c r="J21">
        <v>7.9139999999999997</v>
      </c>
      <c r="K21">
        <v>230.58500000000001</v>
      </c>
      <c r="L21">
        <v>11.456</v>
      </c>
      <c r="M21">
        <v>52.386000000000003</v>
      </c>
      <c r="N21">
        <v>11.385999999999999</v>
      </c>
      <c r="O21">
        <v>1.05</v>
      </c>
      <c r="P21">
        <v>3.12</v>
      </c>
      <c r="Q21">
        <v>0</v>
      </c>
      <c r="R21">
        <v>83.593000000000004</v>
      </c>
      <c r="S21">
        <v>57.1</v>
      </c>
      <c r="T21">
        <v>23.3</v>
      </c>
    </row>
    <row r="22" spans="1:20" x14ac:dyDescent="0.3">
      <c r="A22" t="s">
        <v>708</v>
      </c>
      <c r="B22">
        <v>294.37400000000002</v>
      </c>
      <c r="C22">
        <v>59.429000000000002</v>
      </c>
      <c r="D22">
        <v>60.564999999999998</v>
      </c>
      <c r="E22">
        <v>0.48099999999999998</v>
      </c>
      <c r="F22">
        <v>81.679000000000002</v>
      </c>
      <c r="G22">
        <v>13.484</v>
      </c>
      <c r="H22">
        <v>146.67699999999999</v>
      </c>
      <c r="I22">
        <v>27.513000000000002</v>
      </c>
      <c r="J22">
        <v>7.9020000000000001</v>
      </c>
      <c r="K22">
        <v>230.273</v>
      </c>
      <c r="L22">
        <v>11.438000000000001</v>
      </c>
      <c r="M22">
        <v>52.277999999999999</v>
      </c>
      <c r="N22">
        <v>11.391999999999999</v>
      </c>
      <c r="O22">
        <v>1.044</v>
      </c>
      <c r="P22">
        <v>3.1320000000000001</v>
      </c>
      <c r="Q22">
        <v>0</v>
      </c>
      <c r="R22">
        <v>83.594999999999999</v>
      </c>
      <c r="S22">
        <v>57</v>
      </c>
      <c r="T22">
        <v>23.3</v>
      </c>
    </row>
    <row r="23" spans="1:20" x14ac:dyDescent="0.3">
      <c r="A23" t="s">
        <v>709</v>
      </c>
      <c r="B23">
        <v>294.10300000000001</v>
      </c>
      <c r="C23">
        <v>59.424999999999997</v>
      </c>
      <c r="D23">
        <v>60.575000000000003</v>
      </c>
      <c r="E23">
        <v>0.51800000000000002</v>
      </c>
      <c r="F23">
        <v>80.694000000000003</v>
      </c>
      <c r="G23">
        <v>12.914999999999999</v>
      </c>
      <c r="H23">
        <v>146.809</v>
      </c>
      <c r="I23">
        <v>27.135000000000002</v>
      </c>
      <c r="J23">
        <v>7.9130000000000003</v>
      </c>
      <c r="K23">
        <v>230.56899999999999</v>
      </c>
      <c r="L23">
        <v>11.455</v>
      </c>
      <c r="M23">
        <v>52.26</v>
      </c>
      <c r="N23">
        <v>11.387</v>
      </c>
      <c r="O23">
        <v>1.0349999999999999</v>
      </c>
      <c r="P23">
        <v>3.1389999999999998</v>
      </c>
      <c r="Q23">
        <v>0</v>
      </c>
      <c r="R23">
        <v>83.605000000000004</v>
      </c>
      <c r="S23">
        <v>57.2</v>
      </c>
      <c r="T23">
        <v>23.3</v>
      </c>
    </row>
    <row r="24" spans="1:20" x14ac:dyDescent="0.3">
      <c r="A24" t="s">
        <v>710</v>
      </c>
      <c r="B24">
        <v>293.976</v>
      </c>
      <c r="C24">
        <v>59.500999999999998</v>
      </c>
      <c r="D24">
        <v>60.430999999999997</v>
      </c>
      <c r="E24">
        <v>0.52300000000000002</v>
      </c>
      <c r="F24">
        <v>80.116</v>
      </c>
      <c r="G24">
        <v>13.343</v>
      </c>
      <c r="H24">
        <v>146.47399999999999</v>
      </c>
      <c r="I24">
        <v>27.344999999999999</v>
      </c>
      <c r="J24">
        <v>7.9020000000000001</v>
      </c>
      <c r="K24">
        <v>230.24</v>
      </c>
      <c r="L24">
        <v>11.435</v>
      </c>
      <c r="M24">
        <v>52.368000000000002</v>
      </c>
      <c r="N24">
        <v>11.382999999999999</v>
      </c>
      <c r="O24">
        <v>1.0469999999999999</v>
      </c>
      <c r="P24">
        <v>3.1110000000000002</v>
      </c>
      <c r="Q24">
        <v>0</v>
      </c>
      <c r="R24">
        <v>83.619</v>
      </c>
      <c r="S24">
        <v>57.2</v>
      </c>
      <c r="T24">
        <v>23.3</v>
      </c>
    </row>
    <row r="25" spans="1:20" ht="15" thickBot="1" x14ac:dyDescent="0.35">
      <c r="A25" t="s">
        <v>711</v>
      </c>
      <c r="B25">
        <v>294.089</v>
      </c>
      <c r="C25">
        <v>59.527000000000001</v>
      </c>
      <c r="D25">
        <v>60.404000000000003</v>
      </c>
      <c r="E25">
        <v>0.51200000000000001</v>
      </c>
      <c r="F25">
        <v>81.885999999999996</v>
      </c>
      <c r="G25">
        <v>13.87</v>
      </c>
      <c r="H25">
        <v>146.53399999999999</v>
      </c>
      <c r="I25">
        <v>27.209</v>
      </c>
      <c r="J25">
        <v>7.9130000000000003</v>
      </c>
      <c r="K25">
        <v>230.58500000000001</v>
      </c>
      <c r="L25">
        <v>11.452999999999999</v>
      </c>
      <c r="M25">
        <v>52.305</v>
      </c>
      <c r="N25">
        <v>11.388</v>
      </c>
      <c r="O25">
        <v>1.036</v>
      </c>
      <c r="P25">
        <v>3.121</v>
      </c>
      <c r="Q25">
        <v>0</v>
      </c>
      <c r="R25">
        <v>83.613</v>
      </c>
      <c r="S25">
        <v>57</v>
      </c>
      <c r="T25">
        <v>23.3</v>
      </c>
    </row>
    <row r="26" spans="1:20" ht="15" thickBot="1" x14ac:dyDescent="0.35">
      <c r="A26" t="s">
        <v>0</v>
      </c>
      <c r="B26" s="1">
        <f t="shared" ref="B26:S26" si="0">AVERAGE(B6:B25)</f>
        <v>294.08919999999995</v>
      </c>
      <c r="C26" s="1">
        <f t="shared" si="0"/>
        <v>59.413149999999995</v>
      </c>
      <c r="D26" s="1">
        <f t="shared" si="0"/>
        <v>60.530650000000001</v>
      </c>
      <c r="E26" s="10">
        <f t="shared" si="0"/>
        <v>0.51254999999999995</v>
      </c>
      <c r="F26" s="1">
        <f t="shared" si="0"/>
        <v>81.28895</v>
      </c>
      <c r="G26" s="1">
        <f t="shared" si="0"/>
        <v>13.485050000000001</v>
      </c>
      <c r="H26" s="10">
        <f t="shared" si="0"/>
        <v>146.61580000000004</v>
      </c>
      <c r="I26" s="1">
        <f t="shared" si="0"/>
        <v>27.408499999999997</v>
      </c>
      <c r="J26" s="8">
        <f t="shared" si="0"/>
        <v>7.9086499999999997</v>
      </c>
      <c r="K26" s="1">
        <f t="shared" si="0"/>
        <v>230.48895000000002</v>
      </c>
      <c r="L26" s="1">
        <f t="shared" si="0"/>
        <v>11.449450000000001</v>
      </c>
      <c r="M26" s="1">
        <f t="shared" si="0"/>
        <v>52.339549999999988</v>
      </c>
      <c r="N26" s="1">
        <f t="shared" si="0"/>
        <v>11.386850000000001</v>
      </c>
      <c r="O26" s="1">
        <f t="shared" si="0"/>
        <v>1.0348999999999999</v>
      </c>
      <c r="P26" s="1">
        <f t="shared" si="0"/>
        <v>3.1220500000000002</v>
      </c>
      <c r="Q26" s="1">
        <f t="shared" si="0"/>
        <v>0</v>
      </c>
      <c r="R26" s="1">
        <f t="shared" si="0"/>
        <v>83.572500000000005</v>
      </c>
      <c r="S26" s="1">
        <f t="shared" si="0"/>
        <v>57.115000000000009</v>
      </c>
      <c r="T26" s="8">
        <f>AVERAGE(T6:T25)</f>
        <v>23.300000000000008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2.0871500000000003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0CC6-5086-4A5A-8CFA-0FB2151C9D85}">
  <dimension ref="A1:U28"/>
  <sheetViews>
    <sheetView zoomScale="85" zoomScaleNormal="85" workbookViewId="0">
      <selection activeCell="M35" sqref="M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0.48901620370370369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42.270928030176094</v>
      </c>
      <c r="M2" s="8">
        <f>(H26*0.001*60)*(K2/100)*(G2/I2)</f>
        <v>2.8378454681570631</v>
      </c>
      <c r="O2" s="9">
        <f>100*((E26*C2)/((E26*C2)+(M2*E2)))</f>
        <v>13.712573129384095</v>
      </c>
      <c r="Q2" s="10">
        <f>100*J26*(1/(((C2/3.6)*E26)+((E2/3.6)*M2)))</f>
        <v>21.97532544796799</v>
      </c>
      <c r="S2" s="6">
        <v>3.54</v>
      </c>
      <c r="U2" s="10">
        <f>100*((((G26*0.001*60)*(C26-D26)*(S2/3.6)))/(((C2/3.6)*E26)+((E2/3.6)*M2)))</f>
        <v>-18.064025547466684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712</v>
      </c>
      <c r="B6">
        <v>339.62</v>
      </c>
      <c r="C6">
        <v>60.68</v>
      </c>
      <c r="D6">
        <v>66.731999999999999</v>
      </c>
      <c r="E6">
        <v>0.50700000000000001</v>
      </c>
      <c r="F6">
        <v>81.045000000000002</v>
      </c>
      <c r="G6">
        <v>22.132000000000001</v>
      </c>
      <c r="H6">
        <v>156.72900000000001</v>
      </c>
      <c r="I6">
        <v>30.823</v>
      </c>
      <c r="J6">
        <v>10.048999999999999</v>
      </c>
      <c r="K6">
        <v>230.273</v>
      </c>
      <c r="L6">
        <v>14.577999999999999</v>
      </c>
      <c r="M6">
        <v>52.423999999999999</v>
      </c>
      <c r="N6">
        <v>14.398999999999999</v>
      </c>
      <c r="O6">
        <v>1.0469999999999999</v>
      </c>
      <c r="P6">
        <v>2.99</v>
      </c>
      <c r="Q6">
        <v>0</v>
      </c>
      <c r="R6">
        <v>86.13</v>
      </c>
      <c r="S6">
        <v>63.2</v>
      </c>
      <c r="T6">
        <v>27.1</v>
      </c>
    </row>
    <row r="7" spans="1:21" x14ac:dyDescent="0.3">
      <c r="A7" t="s">
        <v>713</v>
      </c>
      <c r="B7">
        <v>339.55500000000001</v>
      </c>
      <c r="C7">
        <v>60.743000000000002</v>
      </c>
      <c r="D7">
        <v>66.731999999999999</v>
      </c>
      <c r="E7">
        <v>0.48499999999999999</v>
      </c>
      <c r="F7">
        <v>83.058999999999997</v>
      </c>
      <c r="G7">
        <v>22.530999999999999</v>
      </c>
      <c r="H7">
        <v>156.79900000000001</v>
      </c>
      <c r="I7">
        <v>30.95</v>
      </c>
      <c r="J7">
        <v>10.039999999999999</v>
      </c>
      <c r="K7">
        <v>229.91200000000001</v>
      </c>
      <c r="L7">
        <v>14.555999999999999</v>
      </c>
      <c r="M7">
        <v>52.414000000000001</v>
      </c>
      <c r="N7">
        <v>14.397</v>
      </c>
      <c r="O7">
        <v>1.0680000000000001</v>
      </c>
      <c r="P7">
        <v>3.0009999999999999</v>
      </c>
      <c r="Q7">
        <v>0</v>
      </c>
      <c r="R7">
        <v>86.143000000000001</v>
      </c>
      <c r="S7">
        <v>63.2</v>
      </c>
      <c r="T7">
        <v>27.1</v>
      </c>
    </row>
    <row r="8" spans="1:21" x14ac:dyDescent="0.3">
      <c r="A8" t="s">
        <v>714</v>
      </c>
      <c r="B8">
        <v>339.46300000000002</v>
      </c>
      <c r="C8">
        <v>60.73</v>
      </c>
      <c r="D8">
        <v>66.765000000000001</v>
      </c>
      <c r="E8">
        <v>0.60299999999999998</v>
      </c>
      <c r="F8">
        <v>82.644999999999996</v>
      </c>
      <c r="G8">
        <v>22.6</v>
      </c>
      <c r="H8">
        <v>156.59800000000001</v>
      </c>
      <c r="I8">
        <v>30.641999999999999</v>
      </c>
      <c r="J8">
        <v>10.048</v>
      </c>
      <c r="K8">
        <v>230.322</v>
      </c>
      <c r="L8">
        <v>14.581</v>
      </c>
      <c r="M8">
        <v>52.25</v>
      </c>
      <c r="N8">
        <v>14.4</v>
      </c>
      <c r="O8">
        <v>1.071</v>
      </c>
      <c r="P8">
        <v>3.0179999999999998</v>
      </c>
      <c r="Q8">
        <v>0</v>
      </c>
      <c r="R8">
        <v>86.141000000000005</v>
      </c>
      <c r="S8">
        <v>63.2</v>
      </c>
      <c r="T8">
        <v>27.1</v>
      </c>
    </row>
    <row r="9" spans="1:21" x14ac:dyDescent="0.3">
      <c r="A9" t="s">
        <v>715</v>
      </c>
      <c r="B9">
        <v>338.59399999999999</v>
      </c>
      <c r="C9">
        <v>60.759</v>
      </c>
      <c r="D9">
        <v>66.784000000000006</v>
      </c>
      <c r="E9">
        <v>0.50800000000000001</v>
      </c>
      <c r="F9">
        <v>83.013000000000005</v>
      </c>
      <c r="G9">
        <v>22.72</v>
      </c>
      <c r="H9">
        <v>156.744</v>
      </c>
      <c r="I9">
        <v>31.004000000000001</v>
      </c>
      <c r="J9">
        <v>10.035</v>
      </c>
      <c r="K9">
        <v>230.04300000000001</v>
      </c>
      <c r="L9">
        <v>14.613</v>
      </c>
      <c r="M9">
        <v>52.26</v>
      </c>
      <c r="N9">
        <v>14.398</v>
      </c>
      <c r="O9">
        <v>1.0529999999999999</v>
      </c>
      <c r="P9">
        <v>2.9990000000000001</v>
      </c>
      <c r="Q9">
        <v>0</v>
      </c>
      <c r="R9">
        <v>86.144999999999996</v>
      </c>
      <c r="S9">
        <v>63.1</v>
      </c>
      <c r="T9">
        <v>27.1</v>
      </c>
    </row>
    <row r="10" spans="1:21" x14ac:dyDescent="0.3">
      <c r="A10" t="s">
        <v>716</v>
      </c>
      <c r="B10">
        <v>338.59399999999999</v>
      </c>
      <c r="C10">
        <v>60.825000000000003</v>
      </c>
      <c r="D10">
        <v>66.774000000000001</v>
      </c>
      <c r="E10">
        <v>0.54400000000000004</v>
      </c>
      <c r="F10">
        <v>83.486000000000004</v>
      </c>
      <c r="G10">
        <v>21.853999999999999</v>
      </c>
      <c r="H10">
        <v>156.62700000000001</v>
      </c>
      <c r="I10">
        <v>30.741</v>
      </c>
      <c r="J10">
        <v>10.048</v>
      </c>
      <c r="K10">
        <v>230.28899999999999</v>
      </c>
      <c r="L10">
        <v>14.664999999999999</v>
      </c>
      <c r="M10">
        <v>52.347000000000001</v>
      </c>
      <c r="N10">
        <v>14.403</v>
      </c>
      <c r="O10">
        <v>1.071</v>
      </c>
      <c r="P10">
        <v>3.008</v>
      </c>
      <c r="Q10">
        <v>0</v>
      </c>
      <c r="R10">
        <v>86.138000000000005</v>
      </c>
      <c r="S10">
        <v>63.1</v>
      </c>
      <c r="T10">
        <v>27.1</v>
      </c>
    </row>
    <row r="11" spans="1:21" x14ac:dyDescent="0.3">
      <c r="A11" t="s">
        <v>717</v>
      </c>
      <c r="B11">
        <v>338.87900000000002</v>
      </c>
      <c r="C11">
        <v>60.825000000000003</v>
      </c>
      <c r="D11">
        <v>66.754999999999995</v>
      </c>
      <c r="E11">
        <v>0.51300000000000001</v>
      </c>
      <c r="F11">
        <v>82.572999999999993</v>
      </c>
      <c r="G11">
        <v>22.385000000000002</v>
      </c>
      <c r="H11">
        <v>156.636</v>
      </c>
      <c r="I11">
        <v>30.971</v>
      </c>
      <c r="J11">
        <v>10.039</v>
      </c>
      <c r="K11">
        <v>230.10900000000001</v>
      </c>
      <c r="L11">
        <v>14.664999999999999</v>
      </c>
      <c r="M11">
        <v>52.366</v>
      </c>
      <c r="N11">
        <v>14.398999999999999</v>
      </c>
      <c r="O11">
        <v>1.0569999999999999</v>
      </c>
      <c r="P11">
        <v>3.0089999999999999</v>
      </c>
      <c r="Q11">
        <v>0</v>
      </c>
      <c r="R11">
        <v>86.144000000000005</v>
      </c>
      <c r="S11">
        <v>63.1</v>
      </c>
      <c r="T11">
        <v>27.1</v>
      </c>
    </row>
    <row r="12" spans="1:21" x14ac:dyDescent="0.3">
      <c r="A12" t="s">
        <v>718</v>
      </c>
      <c r="B12">
        <v>339.6</v>
      </c>
      <c r="C12">
        <v>60.792000000000002</v>
      </c>
      <c r="D12">
        <v>66.811000000000007</v>
      </c>
      <c r="E12">
        <v>0.55000000000000004</v>
      </c>
      <c r="F12">
        <v>82.924000000000007</v>
      </c>
      <c r="G12">
        <v>22.535</v>
      </c>
      <c r="H12">
        <v>156.65700000000001</v>
      </c>
      <c r="I12">
        <v>30.885000000000002</v>
      </c>
      <c r="J12">
        <v>10.048999999999999</v>
      </c>
      <c r="K12">
        <v>230.30600000000001</v>
      </c>
      <c r="L12">
        <v>14.691000000000001</v>
      </c>
      <c r="M12">
        <v>52.252000000000002</v>
      </c>
      <c r="N12">
        <v>14.4</v>
      </c>
      <c r="O12">
        <v>1.0489999999999999</v>
      </c>
      <c r="P12">
        <v>3.012</v>
      </c>
      <c r="Q12">
        <v>0</v>
      </c>
      <c r="R12">
        <v>86.138999999999996</v>
      </c>
      <c r="S12">
        <v>63</v>
      </c>
      <c r="T12">
        <v>27.1</v>
      </c>
    </row>
    <row r="13" spans="1:21" x14ac:dyDescent="0.3">
      <c r="A13" t="s">
        <v>719</v>
      </c>
      <c r="B13">
        <v>340.01499999999999</v>
      </c>
      <c r="C13">
        <v>60.776000000000003</v>
      </c>
      <c r="D13">
        <v>66.866</v>
      </c>
      <c r="E13">
        <v>0.51300000000000001</v>
      </c>
      <c r="F13">
        <v>82.956999999999994</v>
      </c>
      <c r="G13">
        <v>22.353999999999999</v>
      </c>
      <c r="H13">
        <v>156.66399999999999</v>
      </c>
      <c r="I13">
        <v>30.835000000000001</v>
      </c>
      <c r="J13">
        <v>10.039999999999999</v>
      </c>
      <c r="K13">
        <v>230.17400000000001</v>
      </c>
      <c r="L13">
        <v>14.68</v>
      </c>
      <c r="M13">
        <v>52.337000000000003</v>
      </c>
      <c r="N13">
        <v>14.395</v>
      </c>
      <c r="O13">
        <v>1.0429999999999999</v>
      </c>
      <c r="P13">
        <v>3</v>
      </c>
      <c r="Q13">
        <v>0</v>
      </c>
      <c r="R13">
        <v>86.158000000000001</v>
      </c>
      <c r="S13">
        <v>63</v>
      </c>
      <c r="T13">
        <v>27.1</v>
      </c>
    </row>
    <row r="14" spans="1:21" x14ac:dyDescent="0.3">
      <c r="A14" t="s">
        <v>720</v>
      </c>
      <c r="B14">
        <v>340.01600000000002</v>
      </c>
      <c r="C14">
        <v>60.651000000000003</v>
      </c>
      <c r="D14">
        <v>66.876000000000005</v>
      </c>
      <c r="E14">
        <v>0.55600000000000005</v>
      </c>
      <c r="F14">
        <v>83.328999999999994</v>
      </c>
      <c r="G14">
        <v>22.902000000000001</v>
      </c>
      <c r="H14">
        <v>156.46899999999999</v>
      </c>
      <c r="I14">
        <v>31.068999999999999</v>
      </c>
      <c r="J14">
        <v>10.050000000000001</v>
      </c>
      <c r="K14">
        <v>230.28899999999999</v>
      </c>
      <c r="L14">
        <v>14.666</v>
      </c>
      <c r="M14">
        <v>52.411999999999999</v>
      </c>
      <c r="N14">
        <v>14.401999999999999</v>
      </c>
      <c r="O14">
        <v>1.0469999999999999</v>
      </c>
      <c r="P14">
        <v>3.016</v>
      </c>
      <c r="Q14">
        <v>0</v>
      </c>
      <c r="R14">
        <v>86.126999999999995</v>
      </c>
      <c r="S14">
        <v>63</v>
      </c>
      <c r="T14">
        <v>27.1</v>
      </c>
    </row>
    <row r="15" spans="1:21" x14ac:dyDescent="0.3">
      <c r="A15" t="s">
        <v>721</v>
      </c>
      <c r="B15">
        <v>339.63499999999999</v>
      </c>
      <c r="C15">
        <v>60.771999999999998</v>
      </c>
      <c r="D15">
        <v>66.846999999999994</v>
      </c>
      <c r="E15">
        <v>0.498</v>
      </c>
      <c r="F15">
        <v>82.373000000000005</v>
      </c>
      <c r="G15">
        <v>22.82</v>
      </c>
      <c r="H15">
        <v>156.61699999999999</v>
      </c>
      <c r="I15">
        <v>30.712</v>
      </c>
      <c r="J15">
        <v>10.041</v>
      </c>
      <c r="K15">
        <v>230.25700000000001</v>
      </c>
      <c r="L15">
        <v>14.659000000000001</v>
      </c>
      <c r="M15">
        <v>52.343000000000004</v>
      </c>
      <c r="N15">
        <v>14.394</v>
      </c>
      <c r="O15">
        <v>1.0469999999999999</v>
      </c>
      <c r="P15">
        <v>2.996</v>
      </c>
      <c r="Q15">
        <v>0</v>
      </c>
      <c r="R15">
        <v>86.132000000000005</v>
      </c>
      <c r="S15">
        <v>63</v>
      </c>
      <c r="T15">
        <v>27.1</v>
      </c>
    </row>
    <row r="16" spans="1:21" x14ac:dyDescent="0.3">
      <c r="A16" t="s">
        <v>722</v>
      </c>
      <c r="B16">
        <v>340.21600000000001</v>
      </c>
      <c r="C16">
        <v>60.771999999999998</v>
      </c>
      <c r="D16">
        <v>66.896000000000001</v>
      </c>
      <c r="E16">
        <v>0.53300000000000003</v>
      </c>
      <c r="F16">
        <v>82.454999999999998</v>
      </c>
      <c r="G16">
        <v>22.934999999999999</v>
      </c>
      <c r="H16">
        <v>156.768</v>
      </c>
      <c r="I16">
        <v>31.175999999999998</v>
      </c>
      <c r="J16">
        <v>10.047000000000001</v>
      </c>
      <c r="K16">
        <v>230.339</v>
      </c>
      <c r="L16">
        <v>14.707000000000001</v>
      </c>
      <c r="M16">
        <v>52.356999999999999</v>
      </c>
      <c r="N16">
        <v>14.406000000000001</v>
      </c>
      <c r="O16">
        <v>1.0589999999999999</v>
      </c>
      <c r="P16">
        <v>2.9969999999999999</v>
      </c>
      <c r="Q16">
        <v>0</v>
      </c>
      <c r="R16">
        <v>86.138999999999996</v>
      </c>
      <c r="S16">
        <v>63.1</v>
      </c>
      <c r="T16">
        <v>27.1</v>
      </c>
    </row>
    <row r="17" spans="1:20" x14ac:dyDescent="0.3">
      <c r="A17" t="s">
        <v>723</v>
      </c>
      <c r="B17">
        <v>339.46800000000002</v>
      </c>
      <c r="C17">
        <v>60.771999999999998</v>
      </c>
      <c r="D17">
        <v>66.932000000000002</v>
      </c>
      <c r="E17">
        <v>0.5</v>
      </c>
      <c r="F17">
        <v>82.34</v>
      </c>
      <c r="G17">
        <v>22.311</v>
      </c>
      <c r="H17">
        <v>156.624</v>
      </c>
      <c r="I17">
        <v>30.867999999999999</v>
      </c>
      <c r="J17">
        <v>10.039</v>
      </c>
      <c r="K17">
        <v>230.24</v>
      </c>
      <c r="L17">
        <v>14.7</v>
      </c>
      <c r="M17">
        <v>52.234000000000002</v>
      </c>
      <c r="N17">
        <v>14.394</v>
      </c>
      <c r="O17">
        <v>1.0089999999999999</v>
      </c>
      <c r="P17">
        <v>2.94</v>
      </c>
      <c r="Q17">
        <v>0</v>
      </c>
      <c r="R17">
        <v>86.128</v>
      </c>
      <c r="S17">
        <v>62.9</v>
      </c>
      <c r="T17">
        <v>27.1</v>
      </c>
    </row>
    <row r="18" spans="1:20" x14ac:dyDescent="0.3">
      <c r="A18" t="s">
        <v>724</v>
      </c>
      <c r="B18">
        <v>339.774</v>
      </c>
      <c r="C18">
        <v>60.781999999999996</v>
      </c>
      <c r="D18">
        <v>67.021000000000001</v>
      </c>
      <c r="E18">
        <v>0.53600000000000003</v>
      </c>
      <c r="F18">
        <v>81.915999999999997</v>
      </c>
      <c r="G18">
        <v>22.802</v>
      </c>
      <c r="H18">
        <v>156.56299999999999</v>
      </c>
      <c r="I18">
        <v>27.861999999999998</v>
      </c>
      <c r="J18">
        <v>10.045999999999999</v>
      </c>
      <c r="K18">
        <v>230.15799999999999</v>
      </c>
      <c r="L18">
        <v>14.571</v>
      </c>
      <c r="M18">
        <v>52.317</v>
      </c>
      <c r="N18">
        <v>14.388</v>
      </c>
      <c r="O18">
        <v>1.05</v>
      </c>
      <c r="P18">
        <v>3.0009999999999999</v>
      </c>
      <c r="Q18">
        <v>0</v>
      </c>
      <c r="R18">
        <v>86.122</v>
      </c>
      <c r="S18">
        <v>63.1</v>
      </c>
      <c r="T18">
        <v>27.1</v>
      </c>
    </row>
    <row r="19" spans="1:20" x14ac:dyDescent="0.3">
      <c r="A19" t="s">
        <v>725</v>
      </c>
      <c r="B19">
        <v>339.02800000000002</v>
      </c>
      <c r="C19">
        <v>60.765999999999998</v>
      </c>
      <c r="D19">
        <v>67.174999999999997</v>
      </c>
      <c r="E19">
        <v>0.52700000000000002</v>
      </c>
      <c r="F19">
        <v>82.037000000000006</v>
      </c>
      <c r="G19">
        <v>22.541</v>
      </c>
      <c r="H19">
        <v>156.58199999999999</v>
      </c>
      <c r="I19">
        <v>31.045000000000002</v>
      </c>
      <c r="J19">
        <v>10.039999999999999</v>
      </c>
      <c r="K19">
        <v>230.37200000000001</v>
      </c>
      <c r="L19">
        <v>14.58</v>
      </c>
      <c r="M19">
        <v>52.38</v>
      </c>
      <c r="N19">
        <v>14.385999999999999</v>
      </c>
      <c r="O19">
        <v>1.038</v>
      </c>
      <c r="P19">
        <v>3.0030000000000001</v>
      </c>
      <c r="Q19">
        <v>0</v>
      </c>
      <c r="R19">
        <v>86.125</v>
      </c>
      <c r="S19">
        <v>63</v>
      </c>
      <c r="T19">
        <v>27.1</v>
      </c>
    </row>
    <row r="20" spans="1:20" x14ac:dyDescent="0.3">
      <c r="A20" t="s">
        <v>726</v>
      </c>
      <c r="B20">
        <v>339.738</v>
      </c>
      <c r="C20">
        <v>60.811999999999998</v>
      </c>
      <c r="D20">
        <v>67.099999999999994</v>
      </c>
      <c r="E20">
        <v>0.54900000000000004</v>
      </c>
      <c r="F20">
        <v>82.680999999999997</v>
      </c>
      <c r="G20">
        <v>22.25</v>
      </c>
      <c r="H20">
        <v>156.53</v>
      </c>
      <c r="I20">
        <v>30.765000000000001</v>
      </c>
      <c r="J20">
        <v>10.047000000000001</v>
      </c>
      <c r="K20">
        <v>230.25700000000001</v>
      </c>
      <c r="L20">
        <v>14.577999999999999</v>
      </c>
      <c r="M20">
        <v>52.301000000000002</v>
      </c>
      <c r="N20">
        <v>14.398</v>
      </c>
      <c r="O20">
        <v>1.042</v>
      </c>
      <c r="P20">
        <v>3.01</v>
      </c>
      <c r="Q20">
        <v>0</v>
      </c>
      <c r="R20">
        <v>86.152000000000001</v>
      </c>
      <c r="S20">
        <v>63</v>
      </c>
      <c r="T20">
        <v>27.1</v>
      </c>
    </row>
    <row r="21" spans="1:20" x14ac:dyDescent="0.3">
      <c r="A21" t="s">
        <v>727</v>
      </c>
      <c r="B21">
        <v>340.41899999999998</v>
      </c>
      <c r="C21">
        <v>60.802</v>
      </c>
      <c r="D21">
        <v>67.096000000000004</v>
      </c>
      <c r="E21">
        <v>0.53300000000000003</v>
      </c>
      <c r="F21">
        <v>82.897999999999996</v>
      </c>
      <c r="G21">
        <v>23.093</v>
      </c>
      <c r="H21">
        <v>156.458</v>
      </c>
      <c r="I21">
        <v>31.216999999999999</v>
      </c>
      <c r="J21">
        <v>10.044</v>
      </c>
      <c r="K21">
        <v>230.45400000000001</v>
      </c>
      <c r="L21">
        <v>14.589</v>
      </c>
      <c r="M21">
        <v>52.354999999999997</v>
      </c>
      <c r="N21">
        <v>14.39</v>
      </c>
      <c r="O21">
        <v>1.044</v>
      </c>
      <c r="P21">
        <v>2.9950000000000001</v>
      </c>
      <c r="Q21">
        <v>0</v>
      </c>
      <c r="R21">
        <v>86.128</v>
      </c>
      <c r="S21">
        <v>63.1</v>
      </c>
      <c r="T21">
        <v>27.1</v>
      </c>
    </row>
    <row r="22" spans="1:20" x14ac:dyDescent="0.3">
      <c r="A22" t="s">
        <v>728</v>
      </c>
      <c r="B22">
        <v>339.21699999999998</v>
      </c>
      <c r="C22">
        <v>60.805</v>
      </c>
      <c r="D22">
        <v>67.165000000000006</v>
      </c>
      <c r="E22">
        <v>0.54900000000000004</v>
      </c>
      <c r="F22">
        <v>82.888000000000005</v>
      </c>
      <c r="G22">
        <v>23.356999999999999</v>
      </c>
      <c r="H22">
        <v>156.62299999999999</v>
      </c>
      <c r="I22">
        <v>30.852</v>
      </c>
      <c r="J22">
        <v>10.042</v>
      </c>
      <c r="K22">
        <v>230.17400000000001</v>
      </c>
      <c r="L22">
        <v>14.574999999999999</v>
      </c>
      <c r="M22">
        <v>52.319000000000003</v>
      </c>
      <c r="N22">
        <v>14.385</v>
      </c>
      <c r="O22">
        <v>1.046</v>
      </c>
      <c r="P22">
        <v>2.9929999999999999</v>
      </c>
      <c r="Q22">
        <v>0</v>
      </c>
      <c r="R22">
        <v>86.119</v>
      </c>
      <c r="S22">
        <v>63.1</v>
      </c>
      <c r="T22">
        <v>27.1</v>
      </c>
    </row>
    <row r="23" spans="1:20" x14ac:dyDescent="0.3">
      <c r="A23" t="s">
        <v>729</v>
      </c>
      <c r="B23">
        <v>339.80200000000002</v>
      </c>
      <c r="C23">
        <v>60.802</v>
      </c>
      <c r="D23">
        <v>67.159000000000006</v>
      </c>
      <c r="E23">
        <v>0.53400000000000003</v>
      </c>
      <c r="F23">
        <v>82.421999999999997</v>
      </c>
      <c r="G23">
        <v>22.757999999999999</v>
      </c>
      <c r="H23">
        <v>156.73699999999999</v>
      </c>
      <c r="I23">
        <v>31.209</v>
      </c>
      <c r="J23">
        <v>10.045</v>
      </c>
      <c r="K23">
        <v>230.339</v>
      </c>
      <c r="L23">
        <v>14.585000000000001</v>
      </c>
      <c r="M23">
        <v>52.386000000000003</v>
      </c>
      <c r="N23">
        <v>14.385999999999999</v>
      </c>
      <c r="O23">
        <v>1.0429999999999999</v>
      </c>
      <c r="P23">
        <v>3.0019999999999998</v>
      </c>
      <c r="Q23">
        <v>0</v>
      </c>
      <c r="R23">
        <v>86.125</v>
      </c>
      <c r="S23">
        <v>63.1</v>
      </c>
      <c r="T23">
        <v>27.1</v>
      </c>
    </row>
    <row r="24" spans="1:20" x14ac:dyDescent="0.3">
      <c r="A24" t="s">
        <v>730</v>
      </c>
      <c r="B24">
        <v>339.23200000000003</v>
      </c>
      <c r="C24">
        <v>60.805</v>
      </c>
      <c r="D24">
        <v>67.171999999999997</v>
      </c>
      <c r="E24">
        <v>0.51800000000000002</v>
      </c>
      <c r="F24">
        <v>82.649000000000001</v>
      </c>
      <c r="G24">
        <v>23.445</v>
      </c>
      <c r="H24">
        <v>156.79599999999999</v>
      </c>
      <c r="I24">
        <v>31.056999999999999</v>
      </c>
      <c r="J24">
        <v>10.042999999999999</v>
      </c>
      <c r="K24">
        <v>230.125</v>
      </c>
      <c r="L24">
        <v>14.574999999999999</v>
      </c>
      <c r="M24">
        <v>52.459000000000003</v>
      </c>
      <c r="N24">
        <v>14.388999999999999</v>
      </c>
      <c r="O24">
        <v>1.056</v>
      </c>
      <c r="P24">
        <v>2.9929999999999999</v>
      </c>
      <c r="Q24">
        <v>0</v>
      </c>
      <c r="R24">
        <v>86.123999999999995</v>
      </c>
      <c r="S24">
        <v>63.1</v>
      </c>
      <c r="T24">
        <v>27.1</v>
      </c>
    </row>
    <row r="25" spans="1:20" ht="15" thickBot="1" x14ac:dyDescent="0.35">
      <c r="A25" t="s">
        <v>731</v>
      </c>
      <c r="B25">
        <v>339.72899999999998</v>
      </c>
      <c r="C25">
        <v>60.802</v>
      </c>
      <c r="D25">
        <v>67.185000000000002</v>
      </c>
      <c r="E25">
        <v>0.51200000000000001</v>
      </c>
      <c r="F25">
        <v>82.373000000000005</v>
      </c>
      <c r="G25">
        <v>23.388999999999999</v>
      </c>
      <c r="H25">
        <v>156.73099999999999</v>
      </c>
      <c r="I25">
        <v>31.085999999999999</v>
      </c>
      <c r="J25">
        <v>10.047000000000001</v>
      </c>
      <c r="K25">
        <v>230.339</v>
      </c>
      <c r="L25">
        <v>14.587</v>
      </c>
      <c r="M25">
        <v>52.320999999999998</v>
      </c>
      <c r="N25">
        <v>14.391</v>
      </c>
      <c r="O25">
        <v>1.05</v>
      </c>
      <c r="P25">
        <v>3.028</v>
      </c>
      <c r="Q25">
        <v>0</v>
      </c>
      <c r="R25">
        <v>86.125</v>
      </c>
      <c r="S25">
        <v>63</v>
      </c>
      <c r="T25">
        <v>27.1</v>
      </c>
    </row>
    <row r="26" spans="1:20" ht="15" thickBot="1" x14ac:dyDescent="0.35">
      <c r="A26" t="s">
        <v>0</v>
      </c>
      <c r="B26" s="1">
        <f t="shared" ref="B26:S26" si="0">AVERAGE(B6:B25)</f>
        <v>339.52969999999993</v>
      </c>
      <c r="C26" s="1">
        <f t="shared" si="0"/>
        <v>60.773649999999996</v>
      </c>
      <c r="D26" s="1">
        <f t="shared" si="0"/>
        <v>66.942149999999998</v>
      </c>
      <c r="E26" s="10">
        <f t="shared" si="0"/>
        <v>0.52840000000000009</v>
      </c>
      <c r="F26" s="1">
        <f t="shared" si="0"/>
        <v>82.603149999999999</v>
      </c>
      <c r="G26" s="1">
        <f t="shared" si="0"/>
        <v>22.685699999999997</v>
      </c>
      <c r="H26" s="10">
        <f t="shared" si="0"/>
        <v>156.64760000000001</v>
      </c>
      <c r="I26" s="1">
        <f t="shared" si="0"/>
        <v>30.788450000000001</v>
      </c>
      <c r="J26" s="8">
        <f t="shared" si="0"/>
        <v>10.043949999999999</v>
      </c>
      <c r="K26" s="1">
        <f t="shared" si="0"/>
        <v>230.23854999999998</v>
      </c>
      <c r="L26" s="1">
        <f t="shared" si="0"/>
        <v>14.620049999999997</v>
      </c>
      <c r="M26" s="1">
        <f t="shared" si="0"/>
        <v>52.341699999999989</v>
      </c>
      <c r="N26" s="1">
        <f t="shared" si="0"/>
        <v>14.395000000000001</v>
      </c>
      <c r="O26" s="1">
        <f t="shared" si="0"/>
        <v>1.0494999999999999</v>
      </c>
      <c r="P26" s="1">
        <f t="shared" si="0"/>
        <v>3.0005500000000001</v>
      </c>
      <c r="Q26" s="1">
        <f t="shared" si="0"/>
        <v>0</v>
      </c>
      <c r="R26" s="1">
        <f t="shared" si="0"/>
        <v>86.134199999999993</v>
      </c>
      <c r="S26" s="1">
        <f t="shared" si="0"/>
        <v>63.069999999999993</v>
      </c>
      <c r="T26" s="8">
        <f>AVERAGE(T6:T25)</f>
        <v>27.100000000000012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1.9510500000000002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3D3D-D5AB-41E6-AAB3-DD31E68729C4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5" sqref="M35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0.48965277777777777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44.119231987667909</v>
      </c>
      <c r="M2" s="8">
        <f>(H26*0.001*60)*(K2/100)*(G2/I2)</f>
        <v>3.0470046279400811</v>
      </c>
      <c r="O2" s="9">
        <f>100*((E26*C2)/((E26*C2)+(M2*E2)))</f>
        <v>13.66259683801106</v>
      </c>
      <c r="Q2" s="10">
        <f>100*J26*(1/(((C2/3.6)*E26)+((E2/3.6)*M2)))</f>
        <v>23.991639584257516</v>
      </c>
      <c r="S2" s="6">
        <v>3.54</v>
      </c>
      <c r="U2" s="10">
        <f>100*((((G26*0.001*60)*(C26-D26)*(S2/3.6)))/(((C2/3.6)*E26)+((E2/3.6)*M2)))</f>
        <v>-24.147065930319656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732</v>
      </c>
      <c r="B6">
        <v>369.37200000000001</v>
      </c>
      <c r="C6">
        <v>61.415999999999997</v>
      </c>
      <c r="D6">
        <v>68.489000000000004</v>
      </c>
      <c r="E6">
        <v>0.54600000000000004</v>
      </c>
      <c r="F6">
        <v>81.701999999999998</v>
      </c>
      <c r="G6">
        <v>26.344999999999999</v>
      </c>
      <c r="H6">
        <v>160.60300000000001</v>
      </c>
      <c r="I6">
        <v>31.184000000000001</v>
      </c>
      <c r="J6">
        <v>11.775</v>
      </c>
      <c r="K6">
        <v>230.09200000000001</v>
      </c>
      <c r="L6">
        <v>17.044</v>
      </c>
      <c r="M6">
        <v>52.585000000000001</v>
      </c>
      <c r="N6">
        <v>16.946999999999999</v>
      </c>
      <c r="O6">
        <v>1.048</v>
      </c>
      <c r="P6">
        <v>2.899</v>
      </c>
      <c r="Q6">
        <v>0</v>
      </c>
      <c r="R6">
        <v>84.707999999999998</v>
      </c>
      <c r="S6">
        <v>67.7</v>
      </c>
      <c r="T6">
        <v>30.1</v>
      </c>
    </row>
    <row r="7" spans="1:21" x14ac:dyDescent="0.3">
      <c r="A7" t="s">
        <v>733</v>
      </c>
      <c r="B7">
        <v>371.22800000000001</v>
      </c>
      <c r="C7">
        <v>61.405999999999999</v>
      </c>
      <c r="D7">
        <v>68.528999999999996</v>
      </c>
      <c r="E7">
        <v>0.60699999999999998</v>
      </c>
      <c r="F7">
        <v>83.686999999999998</v>
      </c>
      <c r="G7">
        <v>26.484999999999999</v>
      </c>
      <c r="H7">
        <v>160.773</v>
      </c>
      <c r="I7">
        <v>31.335999999999999</v>
      </c>
      <c r="J7">
        <v>11.766</v>
      </c>
      <c r="K7">
        <v>230.24</v>
      </c>
      <c r="L7">
        <v>17.042999999999999</v>
      </c>
      <c r="M7">
        <v>52.350999999999999</v>
      </c>
      <c r="N7">
        <v>16.940000000000001</v>
      </c>
      <c r="O7">
        <v>1.7</v>
      </c>
      <c r="P7">
        <v>2.8210000000000002</v>
      </c>
      <c r="Q7">
        <v>0</v>
      </c>
      <c r="R7">
        <v>84.76</v>
      </c>
      <c r="S7">
        <v>67.7</v>
      </c>
      <c r="T7">
        <v>30.1</v>
      </c>
    </row>
    <row r="8" spans="1:21" x14ac:dyDescent="0.3">
      <c r="A8" t="s">
        <v>734</v>
      </c>
      <c r="B8">
        <v>369.78899999999999</v>
      </c>
      <c r="C8">
        <v>61.377000000000002</v>
      </c>
      <c r="D8">
        <v>68.581000000000003</v>
      </c>
      <c r="E8">
        <v>0.54600000000000004</v>
      </c>
      <c r="F8">
        <v>82.694999999999993</v>
      </c>
      <c r="G8">
        <v>26.643000000000001</v>
      </c>
      <c r="H8">
        <v>160.33099999999999</v>
      </c>
      <c r="I8">
        <v>34.000999999999998</v>
      </c>
      <c r="J8">
        <v>11.768000000000001</v>
      </c>
      <c r="K8">
        <v>230.24</v>
      </c>
      <c r="L8">
        <v>17.047000000000001</v>
      </c>
      <c r="M8">
        <v>52.311</v>
      </c>
      <c r="N8">
        <v>16.936</v>
      </c>
      <c r="O8">
        <v>1.0669999999999999</v>
      </c>
      <c r="P8">
        <v>2.8879999999999999</v>
      </c>
      <c r="Q8">
        <v>0</v>
      </c>
      <c r="R8">
        <v>84.867999999999995</v>
      </c>
      <c r="S8">
        <v>67.7</v>
      </c>
      <c r="T8">
        <v>30.1</v>
      </c>
    </row>
    <row r="9" spans="1:21" x14ac:dyDescent="0.3">
      <c r="A9" t="s">
        <v>735</v>
      </c>
      <c r="B9">
        <v>370.00099999999998</v>
      </c>
      <c r="C9">
        <v>61.383000000000003</v>
      </c>
      <c r="D9">
        <v>68.561999999999998</v>
      </c>
      <c r="E9">
        <v>0.56999999999999995</v>
      </c>
      <c r="F9">
        <v>83.256</v>
      </c>
      <c r="G9">
        <v>26.823</v>
      </c>
      <c r="H9">
        <v>160.39400000000001</v>
      </c>
      <c r="I9">
        <v>31.279</v>
      </c>
      <c r="J9">
        <v>11.76</v>
      </c>
      <c r="K9">
        <v>230.38800000000001</v>
      </c>
      <c r="L9">
        <v>17.053000000000001</v>
      </c>
      <c r="M9">
        <v>52.209000000000003</v>
      </c>
      <c r="N9">
        <v>16.927</v>
      </c>
      <c r="O9">
        <v>1.071</v>
      </c>
      <c r="P9">
        <v>2.879</v>
      </c>
      <c r="Q9">
        <v>0</v>
      </c>
      <c r="R9">
        <v>84.763000000000005</v>
      </c>
      <c r="S9">
        <v>67.599999999999994</v>
      </c>
      <c r="T9">
        <v>30.1</v>
      </c>
    </row>
    <row r="10" spans="1:21" x14ac:dyDescent="0.3">
      <c r="A10" t="s">
        <v>736</v>
      </c>
      <c r="B10">
        <v>369.31400000000002</v>
      </c>
      <c r="C10">
        <v>61.41</v>
      </c>
      <c r="D10">
        <v>68.64</v>
      </c>
      <c r="E10">
        <v>0.52500000000000002</v>
      </c>
      <c r="F10">
        <v>83.078999999999994</v>
      </c>
      <c r="G10">
        <v>26.82</v>
      </c>
      <c r="H10">
        <v>160.35</v>
      </c>
      <c r="I10">
        <v>31.39</v>
      </c>
      <c r="J10">
        <v>11.763999999999999</v>
      </c>
      <c r="K10">
        <v>230.125</v>
      </c>
      <c r="L10">
        <v>17.052</v>
      </c>
      <c r="M10">
        <v>52.325000000000003</v>
      </c>
      <c r="N10">
        <v>16.93</v>
      </c>
      <c r="O10">
        <v>1.052</v>
      </c>
      <c r="P10">
        <v>2.8929999999999998</v>
      </c>
      <c r="Q10">
        <v>0</v>
      </c>
      <c r="R10">
        <v>84.858000000000004</v>
      </c>
      <c r="S10">
        <v>67.7</v>
      </c>
      <c r="T10">
        <v>30.1</v>
      </c>
    </row>
    <row r="11" spans="1:21" x14ac:dyDescent="0.3">
      <c r="A11" t="s">
        <v>737</v>
      </c>
      <c r="B11">
        <v>369.57</v>
      </c>
      <c r="C11">
        <v>61.481999999999999</v>
      </c>
      <c r="D11">
        <v>68.728999999999999</v>
      </c>
      <c r="E11">
        <v>0.58699999999999997</v>
      </c>
      <c r="F11">
        <v>82.99</v>
      </c>
      <c r="G11">
        <v>26.745999999999999</v>
      </c>
      <c r="H11">
        <v>160.54300000000001</v>
      </c>
      <c r="I11">
        <v>31.123000000000001</v>
      </c>
      <c r="J11">
        <v>11.760999999999999</v>
      </c>
      <c r="K11">
        <v>230.37200000000001</v>
      </c>
      <c r="L11">
        <v>17.053999999999998</v>
      </c>
      <c r="M11">
        <v>52.404000000000003</v>
      </c>
      <c r="N11">
        <v>16.940000000000001</v>
      </c>
      <c r="O11">
        <v>1.0649999999999999</v>
      </c>
      <c r="P11">
        <v>2.883</v>
      </c>
      <c r="Q11">
        <v>0</v>
      </c>
      <c r="R11">
        <v>84.823999999999998</v>
      </c>
      <c r="S11">
        <v>67.599999999999994</v>
      </c>
      <c r="T11">
        <v>30.1</v>
      </c>
    </row>
    <row r="12" spans="1:21" x14ac:dyDescent="0.3">
      <c r="A12" t="s">
        <v>738</v>
      </c>
      <c r="B12">
        <v>369.923</v>
      </c>
      <c r="C12">
        <v>61.491999999999997</v>
      </c>
      <c r="D12">
        <v>68.831000000000003</v>
      </c>
      <c r="E12">
        <v>0.57699999999999996</v>
      </c>
      <c r="F12">
        <v>82.8</v>
      </c>
      <c r="G12">
        <v>27.318999999999999</v>
      </c>
      <c r="H12">
        <v>160.70699999999999</v>
      </c>
      <c r="I12">
        <v>31.495999999999999</v>
      </c>
      <c r="J12">
        <v>11.768000000000001</v>
      </c>
      <c r="K12">
        <v>230.17400000000001</v>
      </c>
      <c r="L12">
        <v>17.042999999999999</v>
      </c>
      <c r="M12">
        <v>52.301000000000002</v>
      </c>
      <c r="N12">
        <v>16.940999999999999</v>
      </c>
      <c r="O12">
        <v>1.0649999999999999</v>
      </c>
      <c r="P12">
        <v>2.8929999999999998</v>
      </c>
      <c r="Q12">
        <v>0</v>
      </c>
      <c r="R12">
        <v>84.891999999999996</v>
      </c>
      <c r="S12">
        <v>67.5</v>
      </c>
      <c r="T12">
        <v>30.1</v>
      </c>
    </row>
    <row r="13" spans="1:21" x14ac:dyDescent="0.3">
      <c r="A13" t="s">
        <v>739</v>
      </c>
      <c r="B13">
        <v>370.60599999999999</v>
      </c>
      <c r="C13">
        <v>61.511000000000003</v>
      </c>
      <c r="D13">
        <v>68.817999999999998</v>
      </c>
      <c r="E13">
        <v>0.59299999999999997</v>
      </c>
      <c r="F13">
        <v>83.722999999999999</v>
      </c>
      <c r="G13">
        <v>27.053000000000001</v>
      </c>
      <c r="H13">
        <v>160.63800000000001</v>
      </c>
      <c r="I13">
        <v>31.422999999999998</v>
      </c>
      <c r="J13">
        <v>11.766</v>
      </c>
      <c r="K13">
        <v>230.42099999999999</v>
      </c>
      <c r="L13">
        <v>17.056000000000001</v>
      </c>
      <c r="M13">
        <v>52.362000000000002</v>
      </c>
      <c r="N13">
        <v>16.931000000000001</v>
      </c>
      <c r="O13">
        <v>1.0649999999999999</v>
      </c>
      <c r="P13">
        <v>2.8740000000000001</v>
      </c>
      <c r="Q13">
        <v>0</v>
      </c>
      <c r="R13">
        <v>84.903000000000006</v>
      </c>
      <c r="S13">
        <v>67.7</v>
      </c>
      <c r="T13">
        <v>30.1</v>
      </c>
    </row>
    <row r="14" spans="1:21" x14ac:dyDescent="0.3">
      <c r="A14" t="s">
        <v>740</v>
      </c>
      <c r="B14">
        <v>369.904</v>
      </c>
      <c r="C14">
        <v>61.530999999999999</v>
      </c>
      <c r="D14">
        <v>68.893000000000001</v>
      </c>
      <c r="E14">
        <v>0.59199999999999997</v>
      </c>
      <c r="F14">
        <v>83.47</v>
      </c>
      <c r="G14">
        <v>26.904</v>
      </c>
      <c r="H14">
        <v>160.536</v>
      </c>
      <c r="I14">
        <v>30.202999999999999</v>
      </c>
      <c r="J14">
        <v>11.772</v>
      </c>
      <c r="K14">
        <v>230.17400000000001</v>
      </c>
      <c r="L14">
        <v>17.042999999999999</v>
      </c>
      <c r="M14">
        <v>52.338999999999999</v>
      </c>
      <c r="N14">
        <v>16.948</v>
      </c>
      <c r="O14">
        <v>1.0740000000000001</v>
      </c>
      <c r="P14">
        <v>2.9049999999999998</v>
      </c>
      <c r="Q14">
        <v>0</v>
      </c>
      <c r="R14">
        <v>84.906999999999996</v>
      </c>
      <c r="S14">
        <v>67.7</v>
      </c>
      <c r="T14">
        <v>30.1</v>
      </c>
    </row>
    <row r="15" spans="1:21" x14ac:dyDescent="0.3">
      <c r="A15" t="s">
        <v>741</v>
      </c>
      <c r="B15">
        <v>369.80599999999998</v>
      </c>
      <c r="C15">
        <v>61.616999999999997</v>
      </c>
      <c r="D15">
        <v>68.861000000000004</v>
      </c>
      <c r="E15">
        <v>0.53700000000000003</v>
      </c>
      <c r="F15">
        <v>83.319000000000003</v>
      </c>
      <c r="G15">
        <v>26.954999999999998</v>
      </c>
      <c r="H15">
        <v>160.77000000000001</v>
      </c>
      <c r="I15">
        <v>31.648</v>
      </c>
      <c r="J15">
        <v>11.763999999999999</v>
      </c>
      <c r="K15">
        <v>230.35499999999999</v>
      </c>
      <c r="L15">
        <v>17.05</v>
      </c>
      <c r="M15">
        <v>52.247999999999998</v>
      </c>
      <c r="N15">
        <v>16.923999999999999</v>
      </c>
      <c r="O15">
        <v>1.0680000000000001</v>
      </c>
      <c r="P15">
        <v>2.927</v>
      </c>
      <c r="Q15">
        <v>0</v>
      </c>
      <c r="R15">
        <v>85.091999999999999</v>
      </c>
      <c r="S15">
        <v>67.7</v>
      </c>
      <c r="T15">
        <v>30.1</v>
      </c>
    </row>
    <row r="16" spans="1:21" x14ac:dyDescent="0.3">
      <c r="A16" t="s">
        <v>742</v>
      </c>
      <c r="B16">
        <v>369.197</v>
      </c>
      <c r="C16">
        <v>61.584000000000003</v>
      </c>
      <c r="D16">
        <v>68.91</v>
      </c>
      <c r="E16">
        <v>0.57099999999999995</v>
      </c>
      <c r="F16">
        <v>82.207999999999998</v>
      </c>
      <c r="G16">
        <v>27.901</v>
      </c>
      <c r="H16">
        <v>160.97399999999999</v>
      </c>
      <c r="I16">
        <v>31.417999999999999</v>
      </c>
      <c r="J16">
        <v>11.765000000000001</v>
      </c>
      <c r="K16">
        <v>230.10900000000001</v>
      </c>
      <c r="L16">
        <v>17.041</v>
      </c>
      <c r="M16">
        <v>52.338999999999999</v>
      </c>
      <c r="N16">
        <v>16.931000000000001</v>
      </c>
      <c r="O16">
        <v>1.06</v>
      </c>
      <c r="P16">
        <v>2.8860000000000001</v>
      </c>
      <c r="Q16">
        <v>0</v>
      </c>
      <c r="R16">
        <v>85.037999999999997</v>
      </c>
      <c r="S16">
        <v>67.7</v>
      </c>
      <c r="T16">
        <v>30.1</v>
      </c>
    </row>
    <row r="17" spans="1:20" x14ac:dyDescent="0.3">
      <c r="A17" t="s">
        <v>743</v>
      </c>
      <c r="B17">
        <v>370.14</v>
      </c>
      <c r="C17">
        <v>61.6</v>
      </c>
      <c r="D17">
        <v>68.951999999999998</v>
      </c>
      <c r="E17">
        <v>0.54300000000000004</v>
      </c>
      <c r="F17">
        <v>83.697000000000003</v>
      </c>
      <c r="G17">
        <v>27.712</v>
      </c>
      <c r="H17">
        <v>161.06100000000001</v>
      </c>
      <c r="I17">
        <v>29.841999999999999</v>
      </c>
      <c r="J17">
        <v>11.768000000000001</v>
      </c>
      <c r="K17">
        <v>230.322</v>
      </c>
      <c r="L17">
        <v>17.056000000000001</v>
      </c>
      <c r="M17">
        <v>52.301000000000002</v>
      </c>
      <c r="N17">
        <v>16.934999999999999</v>
      </c>
      <c r="O17">
        <v>1.0449999999999999</v>
      </c>
      <c r="P17">
        <v>2.903</v>
      </c>
      <c r="Q17">
        <v>0</v>
      </c>
      <c r="R17">
        <v>85.143000000000001</v>
      </c>
      <c r="S17">
        <v>67.599999999999994</v>
      </c>
      <c r="T17">
        <v>30.1</v>
      </c>
    </row>
    <row r="18" spans="1:20" x14ac:dyDescent="0.3">
      <c r="A18" t="s">
        <v>744</v>
      </c>
      <c r="B18">
        <v>370.04700000000003</v>
      </c>
      <c r="C18">
        <v>61.652999999999999</v>
      </c>
      <c r="D18">
        <v>68.936000000000007</v>
      </c>
      <c r="E18">
        <v>0.61199999999999999</v>
      </c>
      <c r="F18">
        <v>84.492000000000004</v>
      </c>
      <c r="G18">
        <v>28.129000000000001</v>
      </c>
      <c r="H18">
        <v>161.27600000000001</v>
      </c>
      <c r="I18">
        <v>31.599</v>
      </c>
      <c r="J18">
        <v>11.765000000000001</v>
      </c>
      <c r="K18">
        <v>230.125</v>
      </c>
      <c r="L18">
        <v>17.036000000000001</v>
      </c>
      <c r="M18">
        <v>52.427999999999997</v>
      </c>
      <c r="N18">
        <v>16.91</v>
      </c>
      <c r="O18">
        <v>1.0609999999999999</v>
      </c>
      <c r="P18">
        <v>2.8969999999999998</v>
      </c>
      <c r="Q18">
        <v>0</v>
      </c>
      <c r="R18">
        <v>85.769000000000005</v>
      </c>
      <c r="S18">
        <v>67.599999999999994</v>
      </c>
      <c r="T18">
        <v>30.1</v>
      </c>
    </row>
    <row r="19" spans="1:20" x14ac:dyDescent="0.3">
      <c r="A19" t="s">
        <v>745</v>
      </c>
      <c r="B19">
        <v>370.738</v>
      </c>
      <c r="C19">
        <v>61.668999999999997</v>
      </c>
      <c r="D19">
        <v>68.995000000000005</v>
      </c>
      <c r="E19">
        <v>0.50900000000000001</v>
      </c>
      <c r="F19">
        <v>83.644000000000005</v>
      </c>
      <c r="G19">
        <v>28.11</v>
      </c>
      <c r="H19">
        <v>161.69200000000001</v>
      </c>
      <c r="I19">
        <v>31.553999999999998</v>
      </c>
      <c r="J19">
        <v>11.772</v>
      </c>
      <c r="K19">
        <v>230.536</v>
      </c>
      <c r="L19">
        <v>17.068999999999999</v>
      </c>
      <c r="M19">
        <v>52.497</v>
      </c>
      <c r="N19">
        <v>16.934999999999999</v>
      </c>
      <c r="O19">
        <v>1.0660000000000001</v>
      </c>
      <c r="P19">
        <v>2.9039999999999999</v>
      </c>
      <c r="Q19">
        <v>0</v>
      </c>
      <c r="R19">
        <v>86.233000000000004</v>
      </c>
      <c r="S19">
        <v>67.599999999999994</v>
      </c>
      <c r="T19">
        <v>30.1</v>
      </c>
    </row>
    <row r="20" spans="1:20" x14ac:dyDescent="0.3">
      <c r="A20" t="s">
        <v>746</v>
      </c>
      <c r="B20">
        <v>372.221</v>
      </c>
      <c r="C20">
        <v>61.671999999999997</v>
      </c>
      <c r="D20">
        <v>69.040999999999997</v>
      </c>
      <c r="E20">
        <v>0.53900000000000003</v>
      </c>
      <c r="F20">
        <v>83.653999999999996</v>
      </c>
      <c r="G20">
        <v>27.611999999999998</v>
      </c>
      <c r="H20">
        <v>161.86000000000001</v>
      </c>
      <c r="I20">
        <v>31.271000000000001</v>
      </c>
      <c r="J20">
        <v>11.763999999999999</v>
      </c>
      <c r="K20">
        <v>230.10900000000001</v>
      </c>
      <c r="L20">
        <v>17.044</v>
      </c>
      <c r="M20">
        <v>52.314999999999998</v>
      </c>
      <c r="N20">
        <v>16.928000000000001</v>
      </c>
      <c r="O20">
        <v>1.0620000000000001</v>
      </c>
      <c r="P20">
        <v>2.9140000000000001</v>
      </c>
      <c r="Q20">
        <v>0</v>
      </c>
      <c r="R20">
        <v>86.364999999999995</v>
      </c>
      <c r="S20">
        <v>67.5</v>
      </c>
      <c r="T20">
        <v>30.1</v>
      </c>
    </row>
    <row r="21" spans="1:20" x14ac:dyDescent="0.3">
      <c r="A21" t="s">
        <v>747</v>
      </c>
      <c r="B21">
        <v>370.80700000000002</v>
      </c>
      <c r="C21">
        <v>61.761000000000003</v>
      </c>
      <c r="D21">
        <v>69.123000000000005</v>
      </c>
      <c r="E21">
        <v>0.53500000000000003</v>
      </c>
      <c r="F21">
        <v>83.641000000000005</v>
      </c>
      <c r="G21">
        <v>27.972999999999999</v>
      </c>
      <c r="H21">
        <v>162.10300000000001</v>
      </c>
      <c r="I21">
        <v>31.57</v>
      </c>
      <c r="J21">
        <v>11.77</v>
      </c>
      <c r="K21">
        <v>230.536</v>
      </c>
      <c r="L21">
        <v>17.065000000000001</v>
      </c>
      <c r="M21">
        <v>52.341000000000001</v>
      </c>
      <c r="N21">
        <v>16.933</v>
      </c>
      <c r="O21">
        <v>1.07</v>
      </c>
      <c r="P21">
        <v>2.9049999999999998</v>
      </c>
      <c r="Q21">
        <v>0</v>
      </c>
      <c r="R21">
        <v>86.536000000000001</v>
      </c>
      <c r="S21">
        <v>67.400000000000006</v>
      </c>
      <c r="T21">
        <v>30.1</v>
      </c>
    </row>
    <row r="22" spans="1:20" x14ac:dyDescent="0.3">
      <c r="A22" t="s">
        <v>748</v>
      </c>
      <c r="B22">
        <v>371.036</v>
      </c>
      <c r="C22">
        <v>61.741</v>
      </c>
      <c r="D22">
        <v>69.212000000000003</v>
      </c>
      <c r="E22">
        <v>0.58199999999999996</v>
      </c>
      <c r="F22">
        <v>83.394000000000005</v>
      </c>
      <c r="G22">
        <v>28.388999999999999</v>
      </c>
      <c r="H22">
        <v>162.05799999999999</v>
      </c>
      <c r="I22">
        <v>31.677</v>
      </c>
      <c r="J22">
        <v>11.765000000000001</v>
      </c>
      <c r="K22">
        <v>230.10900000000001</v>
      </c>
      <c r="L22">
        <v>17.044</v>
      </c>
      <c r="M22">
        <v>52.277999999999999</v>
      </c>
      <c r="N22">
        <v>16.925000000000001</v>
      </c>
      <c r="O22">
        <v>1.0589999999999999</v>
      </c>
      <c r="P22">
        <v>2.9049999999999998</v>
      </c>
      <c r="Q22">
        <v>0</v>
      </c>
      <c r="R22">
        <v>86.846000000000004</v>
      </c>
      <c r="S22">
        <v>67.400000000000006</v>
      </c>
      <c r="T22">
        <v>30.1</v>
      </c>
    </row>
    <row r="23" spans="1:20" x14ac:dyDescent="0.3">
      <c r="A23" t="s">
        <v>749</v>
      </c>
      <c r="B23">
        <v>370.99</v>
      </c>
      <c r="C23">
        <v>61.771000000000001</v>
      </c>
      <c r="D23">
        <v>69.195999999999998</v>
      </c>
      <c r="E23">
        <v>0.57199999999999995</v>
      </c>
      <c r="F23">
        <v>83.608000000000004</v>
      </c>
      <c r="G23">
        <v>28.111000000000001</v>
      </c>
      <c r="H23">
        <v>162.148</v>
      </c>
      <c r="I23">
        <v>31.475999999999999</v>
      </c>
      <c r="J23">
        <v>11.769</v>
      </c>
      <c r="K23">
        <v>230.45400000000001</v>
      </c>
      <c r="L23">
        <v>17.056000000000001</v>
      </c>
      <c r="M23">
        <v>52.283999999999999</v>
      </c>
      <c r="N23">
        <v>16.925999999999998</v>
      </c>
      <c r="O23">
        <v>1.0680000000000001</v>
      </c>
      <c r="P23">
        <v>2.911</v>
      </c>
      <c r="Q23">
        <v>0</v>
      </c>
      <c r="R23">
        <v>86.781999999999996</v>
      </c>
      <c r="S23">
        <v>67.099999999999994</v>
      </c>
      <c r="T23">
        <v>30.1</v>
      </c>
    </row>
    <row r="24" spans="1:20" x14ac:dyDescent="0.3">
      <c r="A24" t="s">
        <v>750</v>
      </c>
      <c r="B24">
        <v>371.68</v>
      </c>
      <c r="C24">
        <v>61.817</v>
      </c>
      <c r="D24">
        <v>69.274000000000001</v>
      </c>
      <c r="E24">
        <v>0.57399999999999995</v>
      </c>
      <c r="F24">
        <v>83.513000000000005</v>
      </c>
      <c r="G24">
        <v>28.477</v>
      </c>
      <c r="H24">
        <v>162.078</v>
      </c>
      <c r="I24">
        <v>31.558</v>
      </c>
      <c r="J24">
        <v>11.763</v>
      </c>
      <c r="K24">
        <v>230.10900000000001</v>
      </c>
      <c r="L24">
        <v>17.038</v>
      </c>
      <c r="M24">
        <v>52.101999999999997</v>
      </c>
      <c r="N24">
        <v>16.905000000000001</v>
      </c>
      <c r="O24">
        <v>1.0660000000000001</v>
      </c>
      <c r="P24">
        <v>2.9169999999999998</v>
      </c>
      <c r="Q24">
        <v>0</v>
      </c>
      <c r="R24">
        <v>86.894999999999996</v>
      </c>
      <c r="S24">
        <v>67.2</v>
      </c>
      <c r="T24">
        <v>30.1</v>
      </c>
    </row>
    <row r="25" spans="1:20" ht="15" thickBot="1" x14ac:dyDescent="0.35">
      <c r="A25" t="s">
        <v>751</v>
      </c>
      <c r="B25">
        <v>371.68</v>
      </c>
      <c r="C25">
        <v>61.758000000000003</v>
      </c>
      <c r="D25">
        <v>69.268000000000001</v>
      </c>
      <c r="E25">
        <v>0.58199999999999996</v>
      </c>
      <c r="F25">
        <v>83.798000000000002</v>
      </c>
      <c r="G25">
        <v>28.73</v>
      </c>
      <c r="H25">
        <v>162.04300000000001</v>
      </c>
      <c r="I25">
        <v>31.882000000000001</v>
      </c>
      <c r="J25">
        <v>11.773</v>
      </c>
      <c r="K25">
        <v>230.45400000000001</v>
      </c>
      <c r="L25">
        <v>17.064</v>
      </c>
      <c r="M25">
        <v>52.292000000000002</v>
      </c>
      <c r="N25">
        <v>16.934000000000001</v>
      </c>
      <c r="O25">
        <v>1.073</v>
      </c>
      <c r="P25">
        <v>2.9020000000000001</v>
      </c>
      <c r="Q25">
        <v>0</v>
      </c>
      <c r="R25">
        <v>86.847999999999999</v>
      </c>
      <c r="S25">
        <v>67.2</v>
      </c>
      <c r="T25">
        <v>30.1</v>
      </c>
    </row>
    <row r="26" spans="1:20" ht="15" thickBot="1" x14ac:dyDescent="0.35">
      <c r="A26" t="s">
        <v>0</v>
      </c>
      <c r="B26" s="1">
        <f t="shared" ref="B26:S26" si="0">AVERAGE(B6:B25)</f>
        <v>370.4024500000001</v>
      </c>
      <c r="C26" s="1">
        <f t="shared" si="0"/>
        <v>61.582550000000005</v>
      </c>
      <c r="D26" s="1">
        <f t="shared" si="0"/>
        <v>68.89200000000001</v>
      </c>
      <c r="E26" s="10">
        <f t="shared" si="0"/>
        <v>0.56495000000000006</v>
      </c>
      <c r="F26" s="1">
        <f t="shared" si="0"/>
        <v>83.3185</v>
      </c>
      <c r="G26" s="1">
        <f t="shared" si="0"/>
        <v>27.461850000000005</v>
      </c>
      <c r="H26" s="10">
        <f t="shared" si="0"/>
        <v>161.14690000000002</v>
      </c>
      <c r="I26" s="1">
        <f t="shared" si="0"/>
        <v>31.446499999999997</v>
      </c>
      <c r="J26" s="8">
        <f t="shared" si="0"/>
        <v>11.766900000000001</v>
      </c>
      <c r="K26" s="1">
        <f t="shared" si="0"/>
        <v>230.27220000000003</v>
      </c>
      <c r="L26" s="1">
        <f t="shared" si="0"/>
        <v>17.049900000000001</v>
      </c>
      <c r="M26" s="1">
        <f t="shared" si="0"/>
        <v>52.330600000000004</v>
      </c>
      <c r="N26" s="1">
        <f t="shared" si="0"/>
        <v>16.9313</v>
      </c>
      <c r="O26" s="1">
        <f t="shared" si="0"/>
        <v>1.0952500000000001</v>
      </c>
      <c r="P26" s="1">
        <f t="shared" si="0"/>
        <v>2.8953000000000002</v>
      </c>
      <c r="Q26" s="1">
        <f t="shared" si="0"/>
        <v>0</v>
      </c>
      <c r="R26" s="1">
        <f t="shared" si="0"/>
        <v>85.551500000000004</v>
      </c>
      <c r="S26" s="1">
        <f t="shared" si="0"/>
        <v>67.545000000000016</v>
      </c>
      <c r="T26" s="8">
        <f>AVERAGE(T6:T25)</f>
        <v>30.100000000000012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1.8000500000000001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43D9-6466-4E32-AF98-5F75A563A836}">
  <dimension ref="A1:U28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RowHeight="14.4" x14ac:dyDescent="0.3"/>
  <sheetData>
    <row r="1" spans="1:21" ht="15" thickBot="1" x14ac:dyDescent="0.35">
      <c r="A1" s="2">
        <v>45492</v>
      </c>
      <c r="C1" s="3" t="s">
        <v>1</v>
      </c>
      <c r="E1" s="3" t="s">
        <v>2</v>
      </c>
      <c r="G1" s="3" t="s">
        <v>3</v>
      </c>
      <c r="I1" s="4" t="s">
        <v>4</v>
      </c>
      <c r="K1" s="3" t="s">
        <v>6</v>
      </c>
      <c r="M1" s="3" t="s">
        <v>5</v>
      </c>
      <c r="O1" s="3" t="s">
        <v>7</v>
      </c>
      <c r="Q1" s="4" t="s">
        <v>8</v>
      </c>
      <c r="S1" s="3" t="s">
        <v>9</v>
      </c>
      <c r="U1" s="4" t="s">
        <v>10</v>
      </c>
    </row>
    <row r="2" spans="1:21" ht="15" thickBot="1" x14ac:dyDescent="0.35">
      <c r="A2" s="5">
        <v>0.4941550925925926</v>
      </c>
      <c r="C2" s="6">
        <v>42.7</v>
      </c>
      <c r="E2" s="6">
        <v>50.03</v>
      </c>
      <c r="G2" s="6">
        <v>1.6E-2</v>
      </c>
      <c r="I2" s="7">
        <v>2.24E-2</v>
      </c>
      <c r="K2" s="8">
        <f>100*(S26/(S26+R26))</f>
        <v>42.711537699116228</v>
      </c>
      <c r="M2" s="8">
        <f>(H26*0.001*60)*(K2/100)*(G2/I2)</f>
        <v>2.9689943066173567</v>
      </c>
      <c r="O2" s="9">
        <f>100*((E26*C2)/((E26*C2)+(M2*E2)))</f>
        <v>14.92971634641537</v>
      </c>
      <c r="Q2" s="10">
        <f>100*J26*(1/(((C2/3.6)*E26)+((E2/3.6)*M2)))</f>
        <v>28.376159974550482</v>
      </c>
      <c r="S2" s="6">
        <v>3.54</v>
      </c>
      <c r="U2" s="10">
        <f>100*((((G26*0.001*60)*(C26-D26)*(S2/3.6)))/(((C2/3.6)*E26)+((E2/3.6)*M2)))</f>
        <v>-76.936809527772127</v>
      </c>
    </row>
    <row r="4" spans="1:2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30</v>
      </c>
      <c r="Q4" t="s">
        <v>26</v>
      </c>
      <c r="R4" t="s">
        <v>27</v>
      </c>
      <c r="S4" t="s">
        <v>28</v>
      </c>
      <c r="T4" t="s">
        <v>29</v>
      </c>
    </row>
    <row r="6" spans="1:21" x14ac:dyDescent="0.3">
      <c r="A6" t="s">
        <v>752</v>
      </c>
      <c r="B6">
        <v>448.21600000000001</v>
      </c>
      <c r="C6">
        <v>38.406999999999996</v>
      </c>
      <c r="D6">
        <v>49.161999999999999</v>
      </c>
      <c r="E6">
        <v>0.58799999999999997</v>
      </c>
      <c r="F6">
        <v>87.763999999999996</v>
      </c>
      <c r="G6">
        <v>50</v>
      </c>
      <c r="H6">
        <v>162.25299999999999</v>
      </c>
      <c r="I6">
        <v>31.439</v>
      </c>
      <c r="J6">
        <v>13.829000000000001</v>
      </c>
      <c r="K6">
        <v>229.48500000000001</v>
      </c>
      <c r="L6">
        <v>20.350999999999999</v>
      </c>
      <c r="M6">
        <v>52.341000000000001</v>
      </c>
      <c r="N6">
        <v>20.155000000000001</v>
      </c>
      <c r="O6">
        <v>1.123</v>
      </c>
      <c r="P6">
        <v>2.8889999999999998</v>
      </c>
      <c r="Q6">
        <v>0</v>
      </c>
      <c r="R6">
        <v>102.449</v>
      </c>
      <c r="S6">
        <v>76.3</v>
      </c>
      <c r="T6">
        <v>34.1</v>
      </c>
    </row>
    <row r="7" spans="1:21" x14ac:dyDescent="0.3">
      <c r="A7" t="s">
        <v>753</v>
      </c>
      <c r="B7">
        <v>446.56</v>
      </c>
      <c r="C7">
        <v>38.360999999999997</v>
      </c>
      <c r="D7">
        <v>49.228000000000002</v>
      </c>
      <c r="E7">
        <v>0.63100000000000001</v>
      </c>
      <c r="F7">
        <v>87.251000000000005</v>
      </c>
      <c r="G7">
        <v>50</v>
      </c>
      <c r="H7">
        <v>162.13200000000001</v>
      </c>
      <c r="I7">
        <v>30.745000000000001</v>
      </c>
      <c r="J7">
        <v>13.763999999999999</v>
      </c>
      <c r="K7">
        <v>230.322</v>
      </c>
      <c r="L7">
        <v>19.956</v>
      </c>
      <c r="M7">
        <v>52.38</v>
      </c>
      <c r="N7">
        <v>19.808</v>
      </c>
      <c r="O7">
        <v>1.115</v>
      </c>
      <c r="P7">
        <v>2.871</v>
      </c>
      <c r="Q7">
        <v>0</v>
      </c>
      <c r="R7">
        <v>102.23099999999999</v>
      </c>
      <c r="S7">
        <v>76.3</v>
      </c>
      <c r="T7">
        <v>34.1</v>
      </c>
    </row>
    <row r="8" spans="1:21" x14ac:dyDescent="0.3">
      <c r="A8" t="s">
        <v>754</v>
      </c>
      <c r="B8">
        <v>446.56</v>
      </c>
      <c r="C8">
        <v>38.4</v>
      </c>
      <c r="D8">
        <v>49.176000000000002</v>
      </c>
      <c r="E8">
        <v>0.58699999999999997</v>
      </c>
      <c r="F8">
        <v>86.665999999999997</v>
      </c>
      <c r="G8">
        <v>50</v>
      </c>
      <c r="H8">
        <v>162.15100000000001</v>
      </c>
      <c r="I8">
        <v>30.975000000000001</v>
      </c>
      <c r="J8">
        <v>13.798</v>
      </c>
      <c r="K8">
        <v>230.28899999999999</v>
      </c>
      <c r="L8">
        <v>20.007000000000001</v>
      </c>
      <c r="M8">
        <v>52.247999999999998</v>
      </c>
      <c r="N8">
        <v>19.867999999999999</v>
      </c>
      <c r="O8">
        <v>1.1259999999999999</v>
      </c>
      <c r="P8">
        <v>2.895</v>
      </c>
      <c r="Q8">
        <v>0</v>
      </c>
      <c r="R8">
        <v>102.26300000000001</v>
      </c>
      <c r="S8">
        <v>76.3</v>
      </c>
      <c r="T8">
        <v>34.1</v>
      </c>
    </row>
    <row r="9" spans="1:21" x14ac:dyDescent="0.3">
      <c r="A9" t="s">
        <v>755</v>
      </c>
      <c r="B9">
        <v>447.80399999999997</v>
      </c>
      <c r="C9">
        <v>38.369999999999997</v>
      </c>
      <c r="D9">
        <v>49.231000000000002</v>
      </c>
      <c r="E9">
        <v>0.66700000000000004</v>
      </c>
      <c r="F9">
        <v>86.771000000000001</v>
      </c>
      <c r="G9">
        <v>50</v>
      </c>
      <c r="H9">
        <v>162.28800000000001</v>
      </c>
      <c r="I9">
        <v>31.11</v>
      </c>
      <c r="J9">
        <v>13.759</v>
      </c>
      <c r="K9">
        <v>230.24</v>
      </c>
      <c r="L9">
        <v>19.952999999999999</v>
      </c>
      <c r="M9">
        <v>52.502000000000002</v>
      </c>
      <c r="N9">
        <v>19.806999999999999</v>
      </c>
      <c r="O9">
        <v>1.1299999999999999</v>
      </c>
      <c r="P9">
        <v>2.883</v>
      </c>
      <c r="Q9">
        <v>0</v>
      </c>
      <c r="R9">
        <v>101.941</v>
      </c>
      <c r="S9">
        <v>76.400000000000006</v>
      </c>
      <c r="T9">
        <v>34.1</v>
      </c>
    </row>
    <row r="10" spans="1:21" x14ac:dyDescent="0.3">
      <c r="A10" t="s">
        <v>756</v>
      </c>
      <c r="B10">
        <v>447.71600000000001</v>
      </c>
      <c r="C10">
        <v>38.334000000000003</v>
      </c>
      <c r="D10">
        <v>49.201999999999998</v>
      </c>
      <c r="E10">
        <v>0.56399999999999995</v>
      </c>
      <c r="F10">
        <v>87.721000000000004</v>
      </c>
      <c r="G10">
        <v>50</v>
      </c>
      <c r="H10">
        <v>162.12700000000001</v>
      </c>
      <c r="I10">
        <v>30.995000000000001</v>
      </c>
      <c r="J10">
        <v>13.754</v>
      </c>
      <c r="K10">
        <v>230.20699999999999</v>
      </c>
      <c r="L10">
        <v>19.945</v>
      </c>
      <c r="M10">
        <v>52.427999999999997</v>
      </c>
      <c r="N10">
        <v>19.802</v>
      </c>
      <c r="O10">
        <v>1.1220000000000001</v>
      </c>
      <c r="P10">
        <v>2.88</v>
      </c>
      <c r="Q10">
        <v>0</v>
      </c>
      <c r="R10">
        <v>101.99</v>
      </c>
      <c r="S10">
        <v>76.5</v>
      </c>
      <c r="T10">
        <v>34.1</v>
      </c>
    </row>
    <row r="11" spans="1:21" x14ac:dyDescent="0.3">
      <c r="A11" t="s">
        <v>757</v>
      </c>
      <c r="B11">
        <v>446.73599999999999</v>
      </c>
      <c r="C11">
        <v>38.334000000000003</v>
      </c>
      <c r="D11">
        <v>49.195</v>
      </c>
      <c r="E11">
        <v>0.51500000000000001</v>
      </c>
      <c r="F11">
        <v>87.58</v>
      </c>
      <c r="G11">
        <v>50</v>
      </c>
      <c r="H11">
        <v>162.208</v>
      </c>
      <c r="I11">
        <v>30.609000000000002</v>
      </c>
      <c r="J11">
        <v>13.76</v>
      </c>
      <c r="K11">
        <v>230.20699999999999</v>
      </c>
      <c r="L11">
        <v>19.937000000000001</v>
      </c>
      <c r="M11">
        <v>52.414000000000001</v>
      </c>
      <c r="N11">
        <v>19.808</v>
      </c>
      <c r="O11">
        <v>1.123</v>
      </c>
      <c r="P11">
        <v>2.871</v>
      </c>
      <c r="Q11">
        <v>0</v>
      </c>
      <c r="R11">
        <v>101.94</v>
      </c>
      <c r="S11">
        <v>76.5</v>
      </c>
      <c r="T11">
        <v>34.1</v>
      </c>
    </row>
    <row r="12" spans="1:21" x14ac:dyDescent="0.3">
      <c r="A12" t="s">
        <v>758</v>
      </c>
      <c r="B12">
        <v>446.36700000000002</v>
      </c>
      <c r="C12">
        <v>38.347000000000001</v>
      </c>
      <c r="D12">
        <v>49.212000000000003</v>
      </c>
      <c r="E12">
        <v>0.64900000000000002</v>
      </c>
      <c r="F12">
        <v>87.537000000000006</v>
      </c>
      <c r="G12">
        <v>50</v>
      </c>
      <c r="H12">
        <v>162.18799999999999</v>
      </c>
      <c r="I12">
        <v>30.885000000000002</v>
      </c>
      <c r="J12">
        <v>13.755000000000001</v>
      </c>
      <c r="K12">
        <v>230.38800000000001</v>
      </c>
      <c r="L12">
        <v>19.949000000000002</v>
      </c>
      <c r="M12">
        <v>52.4</v>
      </c>
      <c r="N12">
        <v>19.763999999999999</v>
      </c>
      <c r="O12">
        <v>1.107</v>
      </c>
      <c r="P12">
        <v>2.879</v>
      </c>
      <c r="Q12">
        <v>0</v>
      </c>
      <c r="R12">
        <v>102.084</v>
      </c>
      <c r="S12">
        <v>76.599999999999994</v>
      </c>
      <c r="T12">
        <v>34.1</v>
      </c>
    </row>
    <row r="13" spans="1:21" x14ac:dyDescent="0.3">
      <c r="A13" t="s">
        <v>759</v>
      </c>
      <c r="B13">
        <v>446.06299999999999</v>
      </c>
      <c r="C13">
        <v>38.374000000000002</v>
      </c>
      <c r="D13">
        <v>49.149000000000001</v>
      </c>
      <c r="E13">
        <v>0.63800000000000001</v>
      </c>
      <c r="F13">
        <v>86.84</v>
      </c>
      <c r="G13">
        <v>50</v>
      </c>
      <c r="H13">
        <v>162.15799999999999</v>
      </c>
      <c r="I13">
        <v>30.946000000000002</v>
      </c>
      <c r="J13">
        <v>13.76</v>
      </c>
      <c r="K13">
        <v>230.142</v>
      </c>
      <c r="L13">
        <v>19.940999999999999</v>
      </c>
      <c r="M13">
        <v>52.354999999999997</v>
      </c>
      <c r="N13">
        <v>19.805</v>
      </c>
      <c r="O13">
        <v>1.1120000000000001</v>
      </c>
      <c r="P13">
        <v>2.8940000000000001</v>
      </c>
      <c r="Q13">
        <v>0</v>
      </c>
      <c r="R13">
        <v>101.95699999999999</v>
      </c>
      <c r="S13">
        <v>76.599999999999994</v>
      </c>
      <c r="T13">
        <v>34.1</v>
      </c>
    </row>
    <row r="14" spans="1:21" x14ac:dyDescent="0.3">
      <c r="A14" t="s">
        <v>760</v>
      </c>
      <c r="B14">
        <v>445.23899999999998</v>
      </c>
      <c r="C14">
        <v>38.406999999999996</v>
      </c>
      <c r="D14">
        <v>49.215000000000003</v>
      </c>
      <c r="E14">
        <v>0.58599999999999997</v>
      </c>
      <c r="F14">
        <v>87.796000000000006</v>
      </c>
      <c r="G14">
        <v>50</v>
      </c>
      <c r="H14">
        <v>162.23099999999999</v>
      </c>
      <c r="I14">
        <v>30.745000000000001</v>
      </c>
      <c r="J14">
        <v>13.763</v>
      </c>
      <c r="K14">
        <v>230.20699999999999</v>
      </c>
      <c r="L14">
        <v>19.946999999999999</v>
      </c>
      <c r="M14">
        <v>52.356999999999999</v>
      </c>
      <c r="N14">
        <v>19.812000000000001</v>
      </c>
      <c r="O14">
        <v>1.131</v>
      </c>
      <c r="P14">
        <v>2.8809999999999998</v>
      </c>
      <c r="Q14">
        <v>0</v>
      </c>
      <c r="R14">
        <v>101.911</v>
      </c>
      <c r="S14">
        <v>76.599999999999994</v>
      </c>
      <c r="T14">
        <v>34.1</v>
      </c>
    </row>
    <row r="15" spans="1:21" x14ac:dyDescent="0.3">
      <c r="A15" t="s">
        <v>761</v>
      </c>
      <c r="B15">
        <v>444.86099999999999</v>
      </c>
      <c r="C15">
        <v>38.384</v>
      </c>
      <c r="D15">
        <v>49.204999999999998</v>
      </c>
      <c r="E15">
        <v>0.66500000000000004</v>
      </c>
      <c r="F15">
        <v>87.644999999999996</v>
      </c>
      <c r="G15">
        <v>50</v>
      </c>
      <c r="H15">
        <v>161.98400000000001</v>
      </c>
      <c r="I15">
        <v>28.658999999999999</v>
      </c>
      <c r="J15">
        <v>13.75</v>
      </c>
      <c r="K15">
        <v>229.994</v>
      </c>
      <c r="L15">
        <v>19.943999999999999</v>
      </c>
      <c r="M15">
        <v>52.43</v>
      </c>
      <c r="N15">
        <v>19.82</v>
      </c>
      <c r="O15">
        <v>1.119</v>
      </c>
      <c r="P15">
        <v>2.8839999999999999</v>
      </c>
      <c r="Q15">
        <v>0</v>
      </c>
      <c r="R15">
        <v>102.042</v>
      </c>
      <c r="S15">
        <v>76.599999999999994</v>
      </c>
      <c r="T15">
        <v>34.1</v>
      </c>
    </row>
    <row r="16" spans="1:21" x14ac:dyDescent="0.3">
      <c r="A16" t="s">
        <v>762</v>
      </c>
      <c r="B16">
        <v>447.28199999999998</v>
      </c>
      <c r="C16">
        <v>38.366999999999997</v>
      </c>
      <c r="D16">
        <v>49.212000000000003</v>
      </c>
      <c r="E16">
        <v>0.60199999999999998</v>
      </c>
      <c r="F16">
        <v>87.741</v>
      </c>
      <c r="G16">
        <v>50</v>
      </c>
      <c r="H16">
        <v>162.227</v>
      </c>
      <c r="I16">
        <v>30.838999999999999</v>
      </c>
      <c r="J16">
        <v>13.757999999999999</v>
      </c>
      <c r="K16">
        <v>230.25700000000001</v>
      </c>
      <c r="L16">
        <v>19.939</v>
      </c>
      <c r="M16">
        <v>52.408000000000001</v>
      </c>
      <c r="N16">
        <v>19.811</v>
      </c>
      <c r="O16">
        <v>1.1200000000000001</v>
      </c>
      <c r="P16">
        <v>2.887</v>
      </c>
      <c r="Q16">
        <v>0</v>
      </c>
      <c r="R16">
        <v>102.303</v>
      </c>
      <c r="S16">
        <v>76.5</v>
      </c>
      <c r="T16">
        <v>34.1</v>
      </c>
    </row>
    <row r="17" spans="1:20" x14ac:dyDescent="0.3">
      <c r="A17" t="s">
        <v>763</v>
      </c>
      <c r="B17">
        <v>446.00200000000001</v>
      </c>
      <c r="C17">
        <v>38.350999999999999</v>
      </c>
      <c r="D17">
        <v>49.212000000000003</v>
      </c>
      <c r="E17">
        <v>0.64300000000000002</v>
      </c>
      <c r="F17">
        <v>87.680999999999997</v>
      </c>
      <c r="G17">
        <v>50</v>
      </c>
      <c r="H17">
        <v>162.238</v>
      </c>
      <c r="I17">
        <v>30.908999999999999</v>
      </c>
      <c r="J17">
        <v>13.765000000000001</v>
      </c>
      <c r="K17">
        <v>230.02699999999999</v>
      </c>
      <c r="L17">
        <v>19.954000000000001</v>
      </c>
      <c r="M17">
        <v>52.363999999999997</v>
      </c>
      <c r="N17">
        <v>19.808</v>
      </c>
      <c r="O17">
        <v>1.121</v>
      </c>
      <c r="P17">
        <v>2.887</v>
      </c>
      <c r="Q17">
        <v>0</v>
      </c>
      <c r="R17">
        <v>102.256</v>
      </c>
      <c r="S17">
        <v>76.7</v>
      </c>
      <c r="T17">
        <v>34.1</v>
      </c>
    </row>
    <row r="18" spans="1:20" x14ac:dyDescent="0.3">
      <c r="A18" t="s">
        <v>764</v>
      </c>
      <c r="B18">
        <v>447.49700000000001</v>
      </c>
      <c r="C18">
        <v>38.295000000000002</v>
      </c>
      <c r="D18">
        <v>49.198999999999998</v>
      </c>
      <c r="E18">
        <v>0.55700000000000005</v>
      </c>
      <c r="F18">
        <v>87.304000000000002</v>
      </c>
      <c r="G18">
        <v>50</v>
      </c>
      <c r="H18">
        <v>162.23599999999999</v>
      </c>
      <c r="I18">
        <v>30.670999999999999</v>
      </c>
      <c r="J18">
        <v>13.755000000000001</v>
      </c>
      <c r="K18">
        <v>230.273</v>
      </c>
      <c r="L18">
        <v>19.969000000000001</v>
      </c>
      <c r="M18">
        <v>52.414000000000001</v>
      </c>
      <c r="N18">
        <v>19.815000000000001</v>
      </c>
      <c r="O18">
        <v>1.1200000000000001</v>
      </c>
      <c r="P18">
        <v>2.88</v>
      </c>
      <c r="Q18">
        <v>0</v>
      </c>
      <c r="R18">
        <v>102.44199999999999</v>
      </c>
      <c r="S18">
        <v>76.599999999999994</v>
      </c>
      <c r="T18">
        <v>34.1</v>
      </c>
    </row>
    <row r="19" spans="1:20" x14ac:dyDescent="0.3">
      <c r="A19" t="s">
        <v>765</v>
      </c>
      <c r="B19">
        <v>447.976</v>
      </c>
      <c r="C19">
        <v>38.374000000000002</v>
      </c>
      <c r="D19">
        <v>49.201999999999998</v>
      </c>
      <c r="E19">
        <v>0.65600000000000003</v>
      </c>
      <c r="F19">
        <v>87.668000000000006</v>
      </c>
      <c r="G19">
        <v>50</v>
      </c>
      <c r="H19">
        <v>162.215</v>
      </c>
      <c r="I19">
        <v>30.581</v>
      </c>
      <c r="J19">
        <v>13.752000000000001</v>
      </c>
      <c r="K19">
        <v>229.82900000000001</v>
      </c>
      <c r="L19">
        <v>19.890999999999998</v>
      </c>
      <c r="M19">
        <v>52.470999999999997</v>
      </c>
      <c r="N19">
        <v>19.809000000000001</v>
      </c>
      <c r="O19">
        <v>1.1080000000000001</v>
      </c>
      <c r="P19">
        <v>2.8889999999999998</v>
      </c>
      <c r="Q19">
        <v>0</v>
      </c>
      <c r="R19">
        <v>102.82</v>
      </c>
      <c r="S19">
        <v>76.599999999999994</v>
      </c>
      <c r="T19">
        <v>34.1</v>
      </c>
    </row>
    <row r="20" spans="1:20" x14ac:dyDescent="0.3">
      <c r="A20" t="s">
        <v>766</v>
      </c>
      <c r="B20">
        <v>447.41199999999998</v>
      </c>
      <c r="C20">
        <v>38.369999999999997</v>
      </c>
      <c r="D20">
        <v>49.189</v>
      </c>
      <c r="E20">
        <v>0.64700000000000002</v>
      </c>
      <c r="F20">
        <v>86.147000000000006</v>
      </c>
      <c r="G20">
        <v>50</v>
      </c>
      <c r="H20">
        <v>162.16900000000001</v>
      </c>
      <c r="I20">
        <v>30.462</v>
      </c>
      <c r="J20">
        <v>13.759</v>
      </c>
      <c r="K20">
        <v>230.25700000000001</v>
      </c>
      <c r="L20">
        <v>19.888000000000002</v>
      </c>
      <c r="M20">
        <v>52.353000000000002</v>
      </c>
      <c r="N20">
        <v>19.811</v>
      </c>
      <c r="O20">
        <v>1.121</v>
      </c>
      <c r="P20">
        <v>2.8740000000000001</v>
      </c>
      <c r="Q20">
        <v>0</v>
      </c>
      <c r="R20">
        <v>103.01900000000001</v>
      </c>
      <c r="S20">
        <v>76.599999999999994</v>
      </c>
      <c r="T20">
        <v>34.1</v>
      </c>
    </row>
    <row r="21" spans="1:20" x14ac:dyDescent="0.3">
      <c r="A21" t="s">
        <v>767</v>
      </c>
      <c r="B21">
        <v>447.01299999999998</v>
      </c>
      <c r="C21">
        <v>31.15</v>
      </c>
      <c r="D21">
        <v>49.228000000000002</v>
      </c>
      <c r="E21">
        <v>0.57999999999999996</v>
      </c>
      <c r="F21">
        <v>87.730999999999995</v>
      </c>
      <c r="G21">
        <v>50</v>
      </c>
      <c r="H21">
        <v>162.19</v>
      </c>
      <c r="I21">
        <v>31.492000000000001</v>
      </c>
      <c r="J21">
        <v>13.768000000000001</v>
      </c>
      <c r="K21">
        <v>229.977</v>
      </c>
      <c r="L21">
        <v>20.007000000000001</v>
      </c>
      <c r="M21">
        <v>52.295000000000002</v>
      </c>
      <c r="N21">
        <v>19.815999999999999</v>
      </c>
      <c r="O21">
        <v>1.1180000000000001</v>
      </c>
      <c r="P21">
        <v>2.8969999999999998</v>
      </c>
      <c r="Q21">
        <v>0</v>
      </c>
      <c r="R21">
        <v>103.232</v>
      </c>
      <c r="S21">
        <v>76.599999999999994</v>
      </c>
      <c r="T21">
        <v>34.1</v>
      </c>
    </row>
    <row r="22" spans="1:20" x14ac:dyDescent="0.3">
      <c r="A22" t="s">
        <v>768</v>
      </c>
      <c r="B22">
        <v>445.38799999999998</v>
      </c>
      <c r="C22">
        <v>31.189</v>
      </c>
      <c r="D22">
        <v>49.222000000000001</v>
      </c>
      <c r="E22">
        <v>0.59899999999999998</v>
      </c>
      <c r="F22">
        <v>87.322999999999993</v>
      </c>
      <c r="G22">
        <v>50</v>
      </c>
      <c r="H22">
        <v>162.28700000000001</v>
      </c>
      <c r="I22">
        <v>30.72</v>
      </c>
      <c r="J22">
        <v>13.749000000000001</v>
      </c>
      <c r="K22">
        <v>230.339</v>
      </c>
      <c r="L22">
        <v>20.021000000000001</v>
      </c>
      <c r="M22">
        <v>52.366</v>
      </c>
      <c r="N22">
        <v>19.800999999999998</v>
      </c>
      <c r="O22">
        <v>1.1160000000000001</v>
      </c>
      <c r="P22">
        <v>2.9020000000000001</v>
      </c>
      <c r="Q22">
        <v>0</v>
      </c>
      <c r="R22">
        <v>103.649</v>
      </c>
      <c r="S22">
        <v>76.599999999999994</v>
      </c>
      <c r="T22">
        <v>34.1</v>
      </c>
    </row>
    <row r="23" spans="1:20" x14ac:dyDescent="0.3">
      <c r="A23" t="s">
        <v>769</v>
      </c>
      <c r="B23">
        <v>447.52699999999999</v>
      </c>
      <c r="C23">
        <v>31.225000000000001</v>
      </c>
      <c r="D23">
        <v>49.264000000000003</v>
      </c>
      <c r="E23">
        <v>0.56699999999999995</v>
      </c>
      <c r="F23">
        <v>87.460999999999999</v>
      </c>
      <c r="G23">
        <v>50</v>
      </c>
      <c r="H23">
        <v>162.21</v>
      </c>
      <c r="I23">
        <v>30.449000000000002</v>
      </c>
      <c r="J23">
        <v>13.756</v>
      </c>
      <c r="K23">
        <v>229.96100000000001</v>
      </c>
      <c r="L23">
        <v>20.015999999999998</v>
      </c>
      <c r="M23">
        <v>52.314999999999998</v>
      </c>
      <c r="N23">
        <v>19.818999999999999</v>
      </c>
      <c r="O23">
        <v>1.105</v>
      </c>
      <c r="P23">
        <v>2.9089999999999998</v>
      </c>
      <c r="Q23">
        <v>0</v>
      </c>
      <c r="R23">
        <v>103.795</v>
      </c>
      <c r="S23">
        <v>76.5</v>
      </c>
      <c r="T23">
        <v>34.1</v>
      </c>
    </row>
    <row r="24" spans="1:20" x14ac:dyDescent="0.3">
      <c r="A24" t="s">
        <v>770</v>
      </c>
      <c r="B24">
        <v>447.06599999999997</v>
      </c>
      <c r="C24">
        <v>31.166</v>
      </c>
      <c r="D24">
        <v>49.332999999999998</v>
      </c>
      <c r="E24">
        <v>0.59599999999999997</v>
      </c>
      <c r="F24">
        <v>86.289000000000001</v>
      </c>
      <c r="G24">
        <v>50</v>
      </c>
      <c r="H24">
        <v>162.21299999999999</v>
      </c>
      <c r="I24">
        <v>30.527000000000001</v>
      </c>
      <c r="J24">
        <v>13.754</v>
      </c>
      <c r="K24">
        <v>230.30600000000001</v>
      </c>
      <c r="L24">
        <v>20.030999999999999</v>
      </c>
      <c r="M24">
        <v>52.238</v>
      </c>
      <c r="N24">
        <v>19.817</v>
      </c>
      <c r="O24">
        <v>1.123</v>
      </c>
      <c r="P24">
        <v>2.9020000000000001</v>
      </c>
      <c r="Q24">
        <v>0</v>
      </c>
      <c r="R24">
        <v>103.80500000000001</v>
      </c>
      <c r="S24">
        <v>76.2</v>
      </c>
      <c r="T24">
        <v>34.1</v>
      </c>
    </row>
    <row r="25" spans="1:20" ht="15" thickBot="1" x14ac:dyDescent="0.35">
      <c r="A25" t="s">
        <v>771</v>
      </c>
      <c r="B25">
        <v>446.94400000000002</v>
      </c>
      <c r="C25">
        <v>31.178999999999998</v>
      </c>
      <c r="D25">
        <v>49.337000000000003</v>
      </c>
      <c r="E25">
        <v>0.67300000000000004</v>
      </c>
      <c r="F25">
        <v>86.739000000000004</v>
      </c>
      <c r="G25">
        <v>50</v>
      </c>
      <c r="H25">
        <v>162.221</v>
      </c>
      <c r="I25">
        <v>30.518999999999998</v>
      </c>
      <c r="J25">
        <v>13.752000000000001</v>
      </c>
      <c r="K25">
        <v>229.94399999999999</v>
      </c>
      <c r="L25">
        <v>19.834</v>
      </c>
      <c r="M25">
        <v>52.38</v>
      </c>
      <c r="N25">
        <v>19.818000000000001</v>
      </c>
      <c r="O25">
        <v>1.1259999999999999</v>
      </c>
      <c r="P25">
        <v>2.895</v>
      </c>
      <c r="Q25">
        <v>0</v>
      </c>
      <c r="R25">
        <v>103.773</v>
      </c>
      <c r="S25">
        <v>76.2</v>
      </c>
      <c r="T25">
        <v>34.1</v>
      </c>
    </row>
    <row r="26" spans="1:20" ht="15" thickBot="1" x14ac:dyDescent="0.35">
      <c r="A26" t="s">
        <v>0</v>
      </c>
      <c r="B26" s="1">
        <f t="shared" ref="B26:S26" si="0">AVERAGE(B6:B25)</f>
        <v>446.81145000000004</v>
      </c>
      <c r="C26" s="1">
        <f t="shared" si="0"/>
        <v>36.569200000000002</v>
      </c>
      <c r="D26" s="1">
        <f t="shared" si="0"/>
        <v>49.21864999999999</v>
      </c>
      <c r="E26" s="10">
        <f t="shared" si="0"/>
        <v>0.61050000000000015</v>
      </c>
      <c r="F26" s="1">
        <f t="shared" si="0"/>
        <v>87.282750000000007</v>
      </c>
      <c r="G26" s="1">
        <f t="shared" si="0"/>
        <v>50</v>
      </c>
      <c r="H26" s="10">
        <f t="shared" si="0"/>
        <v>162.19630000000001</v>
      </c>
      <c r="I26" s="1">
        <f t="shared" si="0"/>
        <v>30.713849999999997</v>
      </c>
      <c r="J26" s="8">
        <f t="shared" si="0"/>
        <v>13.763000000000002</v>
      </c>
      <c r="K26" s="1">
        <f t="shared" si="0"/>
        <v>230.13255000000004</v>
      </c>
      <c r="L26" s="1">
        <f t="shared" si="0"/>
        <v>19.974000000000004</v>
      </c>
      <c r="M26" s="1">
        <f t="shared" si="0"/>
        <v>52.372950000000003</v>
      </c>
      <c r="N26" s="1">
        <f t="shared" si="0"/>
        <v>19.828700000000001</v>
      </c>
      <c r="O26" s="1">
        <f t="shared" si="0"/>
        <v>1.1193</v>
      </c>
      <c r="P26" s="1">
        <f t="shared" si="0"/>
        <v>2.8874500000000003</v>
      </c>
      <c r="Q26" s="1">
        <f t="shared" si="0"/>
        <v>0</v>
      </c>
      <c r="R26" s="1">
        <f t="shared" si="0"/>
        <v>102.5951</v>
      </c>
      <c r="S26" s="1">
        <f t="shared" si="0"/>
        <v>76.489999999999995</v>
      </c>
      <c r="T26" s="8">
        <f>AVERAGE(T6:T25)</f>
        <v>34.100000000000009</v>
      </c>
    </row>
    <row r="27" spans="1:20" ht="15" thickBot="1" x14ac:dyDescent="0.35"/>
    <row r="28" spans="1:20" ht="15" thickBot="1" x14ac:dyDescent="0.35">
      <c r="O28" s="4" t="s">
        <v>51</v>
      </c>
      <c r="P28" s="8">
        <f>P26-O26</f>
        <v>1.7681500000000003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37</vt:i4>
      </vt:variant>
    </vt:vector>
  </HeadingPairs>
  <TitlesOfParts>
    <vt:vector size="37" baseType="lpstr">
      <vt:lpstr>P0C70</vt:lpstr>
      <vt:lpstr>P2C70</vt:lpstr>
      <vt:lpstr>P4C70</vt:lpstr>
      <vt:lpstr>P6C70_1</vt:lpstr>
      <vt:lpstr>P6C70_2</vt:lpstr>
      <vt:lpstr>P8C70</vt:lpstr>
      <vt:lpstr>P10C70</vt:lpstr>
      <vt:lpstr>P12C70</vt:lpstr>
      <vt:lpstr>P0C60</vt:lpstr>
      <vt:lpstr>P2C60_1</vt:lpstr>
      <vt:lpstr>P2C60_2</vt:lpstr>
      <vt:lpstr>P4C60</vt:lpstr>
      <vt:lpstr>P6C60</vt:lpstr>
      <vt:lpstr>P8C60_1</vt:lpstr>
      <vt:lpstr>P8C60_2</vt:lpstr>
      <vt:lpstr>P10C60</vt:lpstr>
      <vt:lpstr>P12C60</vt:lpstr>
      <vt:lpstr>P14C60</vt:lpstr>
      <vt:lpstr>P0C50</vt:lpstr>
      <vt:lpstr>P2C50</vt:lpstr>
      <vt:lpstr>P4C50</vt:lpstr>
      <vt:lpstr>P6C50_1</vt:lpstr>
      <vt:lpstr>P6C50_2</vt:lpstr>
      <vt:lpstr>P8C50</vt:lpstr>
      <vt:lpstr>P10C50</vt:lpstr>
      <vt:lpstr>P12C50_1</vt:lpstr>
      <vt:lpstr>P12C50_2</vt:lpstr>
      <vt:lpstr>P14C50</vt:lpstr>
      <vt:lpstr>P0C40_1</vt:lpstr>
      <vt:lpstr>P0C40_2</vt:lpstr>
      <vt:lpstr>P2C40</vt:lpstr>
      <vt:lpstr>P4C40</vt:lpstr>
      <vt:lpstr>P6C40</vt:lpstr>
      <vt:lpstr>P8C40</vt:lpstr>
      <vt:lpstr>P10C40</vt:lpstr>
      <vt:lpstr>P12C40</vt:lpstr>
      <vt:lpstr>P14C40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Peran FOLLET</dc:creator>
  <cp:lastModifiedBy>Peran FOLLET</cp:lastModifiedBy>
  <dcterms:created xsi:type="dcterms:W3CDTF">2024-06-24T13:37:24Z</dcterms:created>
  <dcterms:modified xsi:type="dcterms:W3CDTF">2025-03-31T08:04:12Z</dcterms:modified>
</cp:coreProperties>
</file>