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IMTA.FR\Homes\p24folle\PERAN\PROJET COGEPRO\02_Mesures\Data for student project\"/>
    </mc:Choice>
  </mc:AlternateContent>
  <xr:revisionPtr revIDLastSave="0" documentId="13_ncr:1_{46BCC2C7-7862-4C3D-AA59-17439E4436B2}" xr6:coauthVersionLast="47" xr6:coauthVersionMax="47" xr10:uidLastSave="{00000000-0000-0000-0000-000000000000}"/>
  <bookViews>
    <workbookView xWindow="-108" yWindow="-108" windowWidth="23256" windowHeight="14016" xr2:uid="{2AF78527-7EC3-46A4-BCF7-0DF1AE700A93}"/>
  </bookViews>
  <sheets>
    <sheet name="P0C70" sheetId="29" r:id="rId1"/>
    <sheet name="P0C70_2" sheetId="43" r:id="rId2"/>
    <sheet name="P2C70" sheetId="30" r:id="rId3"/>
    <sheet name="P2C70_2" sheetId="42" r:id="rId4"/>
    <sheet name="P2C70_3" sheetId="44" r:id="rId5"/>
    <sheet name="P4C70" sheetId="31" r:id="rId6"/>
    <sheet name="P4C70_2" sheetId="45" r:id="rId7"/>
    <sheet name="P6C70" sheetId="32" r:id="rId8"/>
    <sheet name="P8C70" sheetId="33" r:id="rId9"/>
    <sheet name="P10C70" sheetId="34" r:id="rId10"/>
    <sheet name="P12C70" sheetId="35" r:id="rId11"/>
    <sheet name="P0C60" sheetId="21" r:id="rId12"/>
    <sheet name="P2C60" sheetId="22" r:id="rId13"/>
    <sheet name="P4C60" sheetId="23" r:id="rId14"/>
    <sheet name="P6C60" sheetId="24" r:id="rId15"/>
    <sheet name="P8C60" sheetId="25" r:id="rId16"/>
    <sheet name="P10C60" sheetId="26" r:id="rId17"/>
    <sheet name="P12C60" sheetId="27" r:id="rId18"/>
    <sheet name="P14C60" sheetId="28" r:id="rId19"/>
    <sheet name="P0C50" sheetId="5" r:id="rId20"/>
    <sheet name="P2C50" sheetId="4" r:id="rId21"/>
    <sheet name="P4C50" sheetId="6" r:id="rId22"/>
    <sheet name="P6C50" sheetId="7" r:id="rId23"/>
    <sheet name="P8C50" sheetId="8" r:id="rId24"/>
    <sheet name="P10C50" sheetId="9" r:id="rId25"/>
    <sheet name="P12C50" sheetId="10" r:id="rId26"/>
    <sheet name="P14C50" sheetId="11" r:id="rId27"/>
    <sheet name="P0C40" sheetId="19" r:id="rId28"/>
    <sheet name="P2C40" sheetId="18" r:id="rId29"/>
    <sheet name="P4C40" sheetId="17" r:id="rId30"/>
    <sheet name="P6C40" sheetId="16" r:id="rId31"/>
    <sheet name="P8C40" sheetId="15" r:id="rId32"/>
    <sheet name="P10C40" sheetId="14" r:id="rId33"/>
    <sheet name="P12C40" sheetId="13" r:id="rId34"/>
    <sheet name="P14C40" sheetId="12" r:id="rId35"/>
    <sheet name="P0C30" sheetId="20" r:id="rId36"/>
    <sheet name="P2C30" sheetId="36" r:id="rId37"/>
    <sheet name="P4C30" sheetId="37" r:id="rId38"/>
    <sheet name="P6C35" sheetId="39" r:id="rId39"/>
    <sheet name="P8C35" sheetId="40" r:id="rId40"/>
    <sheet name="P10C35" sheetId="41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1" l="1"/>
  <c r="K2" i="40"/>
  <c r="K2" i="39"/>
  <c r="K2" i="37"/>
  <c r="K2" i="36"/>
  <c r="K2" i="20"/>
  <c r="K2" i="12"/>
  <c r="K2" i="13"/>
  <c r="K2" i="14"/>
  <c r="K2" i="15"/>
  <c r="K2" i="16"/>
  <c r="K2" i="17"/>
  <c r="K2" i="18"/>
  <c r="K2" i="19"/>
  <c r="K2" i="11"/>
  <c r="K2" i="10"/>
  <c r="K2" i="9"/>
  <c r="K2" i="8"/>
  <c r="K2" i="7"/>
  <c r="K2" i="6"/>
  <c r="K2" i="4"/>
  <c r="K2" i="5"/>
  <c r="K2" i="28"/>
  <c r="K2" i="27"/>
  <c r="K2" i="26"/>
  <c r="K2" i="25"/>
  <c r="K2" i="24"/>
  <c r="K2" i="23"/>
  <c r="K2" i="22"/>
  <c r="K2" i="21"/>
  <c r="K2" i="35"/>
  <c r="K2" i="34"/>
  <c r="K2" i="33"/>
  <c r="K2" i="32"/>
  <c r="K2" i="45"/>
  <c r="K2" i="31"/>
  <c r="K2" i="44"/>
  <c r="K2" i="42"/>
  <c r="K2" i="30"/>
  <c r="K2" i="43"/>
  <c r="K2" i="29"/>
  <c r="S26" i="45"/>
  <c r="R26" i="45"/>
  <c r="M2" i="45" s="1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S36" i="44"/>
  <c r="R36" i="44"/>
  <c r="M2" i="44" s="1"/>
  <c r="Q36" i="44"/>
  <c r="P36" i="44"/>
  <c r="O36" i="44"/>
  <c r="N36" i="44"/>
  <c r="M36" i="44"/>
  <c r="L36" i="44"/>
  <c r="K36" i="44"/>
  <c r="J36" i="44"/>
  <c r="I36" i="44"/>
  <c r="H36" i="44"/>
  <c r="G36" i="44"/>
  <c r="U2" i="44" s="1"/>
  <c r="F36" i="44"/>
  <c r="E36" i="44"/>
  <c r="O2" i="44" s="1"/>
  <c r="D36" i="44"/>
  <c r="C36" i="44"/>
  <c r="B36" i="44"/>
  <c r="S36" i="43"/>
  <c r="R36" i="43"/>
  <c r="M2" i="43" s="1"/>
  <c r="Q36" i="43"/>
  <c r="P36" i="43"/>
  <c r="O36" i="43"/>
  <c r="N36" i="43"/>
  <c r="M36" i="43"/>
  <c r="L36" i="43"/>
  <c r="K36" i="43"/>
  <c r="J36" i="43"/>
  <c r="Q2" i="43" s="1"/>
  <c r="I36" i="43"/>
  <c r="H36" i="43"/>
  <c r="G36" i="43"/>
  <c r="U2" i="43" s="1"/>
  <c r="F36" i="43"/>
  <c r="E36" i="43"/>
  <c r="O2" i="43" s="1"/>
  <c r="D36" i="43"/>
  <c r="C36" i="43"/>
  <c r="B36" i="43"/>
  <c r="S36" i="42"/>
  <c r="R36" i="42"/>
  <c r="M2" i="42" s="1"/>
  <c r="Q36" i="42"/>
  <c r="P36" i="42"/>
  <c r="O36" i="42"/>
  <c r="N36" i="42"/>
  <c r="M36" i="42"/>
  <c r="L36" i="42"/>
  <c r="K36" i="42"/>
  <c r="J36" i="42"/>
  <c r="I36" i="42"/>
  <c r="H36" i="42"/>
  <c r="U2" i="42" s="1"/>
  <c r="G36" i="42"/>
  <c r="F36" i="42"/>
  <c r="E36" i="42"/>
  <c r="O2" i="42" s="1"/>
  <c r="D36" i="42"/>
  <c r="C36" i="42"/>
  <c r="B36" i="42"/>
  <c r="O2" i="45" l="1"/>
  <c r="U2" i="45"/>
  <c r="Q2" i="45"/>
  <c r="Q2" i="44"/>
  <c r="Q2" i="42"/>
  <c r="S26" i="41" l="1"/>
  <c r="R26" i="41"/>
  <c r="M2" i="41" s="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M2" i="40"/>
  <c r="S26" i="39"/>
  <c r="R26" i="39"/>
  <c r="M2" i="39" s="1"/>
  <c r="Q26" i="39"/>
  <c r="P26" i="39"/>
  <c r="O26" i="39"/>
  <c r="N26" i="39"/>
  <c r="M26" i="39"/>
  <c r="L26" i="39"/>
  <c r="K26" i="39"/>
  <c r="J26" i="39"/>
  <c r="I26" i="39"/>
  <c r="H26" i="39"/>
  <c r="G26" i="39"/>
  <c r="U2" i="39" s="1"/>
  <c r="F26" i="39"/>
  <c r="E26" i="39"/>
  <c r="Q2" i="39" s="1"/>
  <c r="D26" i="39"/>
  <c r="C26" i="39"/>
  <c r="B26" i="39"/>
  <c r="S26" i="37"/>
  <c r="R26" i="37"/>
  <c r="M2" i="37" s="1"/>
  <c r="Q26" i="37"/>
  <c r="P26" i="37"/>
  <c r="O26" i="37"/>
  <c r="N26" i="37"/>
  <c r="M26" i="37"/>
  <c r="L26" i="37"/>
  <c r="K26" i="37"/>
  <c r="J26" i="37"/>
  <c r="Q2" i="37" s="1"/>
  <c r="I26" i="37"/>
  <c r="H26" i="37"/>
  <c r="U2" i="37" s="1"/>
  <c r="G26" i="37"/>
  <c r="F26" i="37"/>
  <c r="E26" i="37"/>
  <c r="O2" i="37" s="1"/>
  <c r="D26" i="37"/>
  <c r="C26" i="37"/>
  <c r="B26" i="37"/>
  <c r="S26" i="36"/>
  <c r="R26" i="36"/>
  <c r="M2" i="36" s="1"/>
  <c r="Q26" i="36"/>
  <c r="P26" i="36"/>
  <c r="O26" i="36"/>
  <c r="N26" i="36"/>
  <c r="M26" i="36"/>
  <c r="L26" i="36"/>
  <c r="K26" i="36"/>
  <c r="J26" i="36"/>
  <c r="I26" i="36"/>
  <c r="H26" i="36"/>
  <c r="G26" i="36"/>
  <c r="U2" i="36" s="1"/>
  <c r="F26" i="36"/>
  <c r="E26" i="36"/>
  <c r="D26" i="36"/>
  <c r="C26" i="36"/>
  <c r="B26" i="36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M2" i="20"/>
  <c r="S26" i="35"/>
  <c r="R26" i="35"/>
  <c r="M2" i="35" s="1"/>
  <c r="Q26" i="35"/>
  <c r="P26" i="35"/>
  <c r="O26" i="35"/>
  <c r="N26" i="35"/>
  <c r="M26" i="35"/>
  <c r="L26" i="35"/>
  <c r="K26" i="35"/>
  <c r="J26" i="35"/>
  <c r="I26" i="35"/>
  <c r="H26" i="35"/>
  <c r="O2" i="35" s="1"/>
  <c r="G26" i="35"/>
  <c r="U2" i="35" s="1"/>
  <c r="F26" i="35"/>
  <c r="E26" i="35"/>
  <c r="D26" i="35"/>
  <c r="C26" i="35"/>
  <c r="B26" i="35"/>
  <c r="S26" i="34"/>
  <c r="R26" i="34"/>
  <c r="M2" i="34" s="1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S26" i="33"/>
  <c r="R26" i="33"/>
  <c r="M2" i="33" s="1"/>
  <c r="Q26" i="33"/>
  <c r="P26" i="33"/>
  <c r="O26" i="33"/>
  <c r="N26" i="33"/>
  <c r="M26" i="33"/>
  <c r="L26" i="33"/>
  <c r="K26" i="33"/>
  <c r="J26" i="33"/>
  <c r="Q2" i="33" s="1"/>
  <c r="I26" i="33"/>
  <c r="H26" i="33"/>
  <c r="G26" i="33"/>
  <c r="U2" i="33" s="1"/>
  <c r="F26" i="33"/>
  <c r="E26" i="33"/>
  <c r="O2" i="33" s="1"/>
  <c r="D26" i="33"/>
  <c r="C26" i="33"/>
  <c r="B26" i="33"/>
  <c r="S26" i="32"/>
  <c r="R26" i="32"/>
  <c r="Q26" i="32"/>
  <c r="M2" i="32" s="1"/>
  <c r="P26" i="32"/>
  <c r="O26" i="32"/>
  <c r="N26" i="32"/>
  <c r="M26" i="32"/>
  <c r="L26" i="32"/>
  <c r="K26" i="32"/>
  <c r="J26" i="32"/>
  <c r="Q2" i="32" s="1"/>
  <c r="I26" i="32"/>
  <c r="H26" i="32"/>
  <c r="G26" i="32"/>
  <c r="F26" i="32"/>
  <c r="E26" i="32"/>
  <c r="D26" i="32"/>
  <c r="C26" i="32"/>
  <c r="B26" i="32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M2" i="31"/>
  <c r="S26" i="30"/>
  <c r="R26" i="30"/>
  <c r="M2" i="30" s="1"/>
  <c r="Q26" i="30"/>
  <c r="P26" i="30"/>
  <c r="O26" i="30"/>
  <c r="N26" i="30"/>
  <c r="M26" i="30"/>
  <c r="L26" i="30"/>
  <c r="K26" i="30"/>
  <c r="J26" i="30"/>
  <c r="I26" i="30"/>
  <c r="H26" i="30"/>
  <c r="G26" i="30"/>
  <c r="U2" i="30" s="1"/>
  <c r="F26" i="30"/>
  <c r="E26" i="30"/>
  <c r="Q2" i="30" s="1"/>
  <c r="D26" i="30"/>
  <c r="C26" i="30"/>
  <c r="B26" i="30"/>
  <c r="S26" i="29"/>
  <c r="R26" i="29"/>
  <c r="Q26" i="29"/>
  <c r="P26" i="29"/>
  <c r="O26" i="29"/>
  <c r="N26" i="29"/>
  <c r="M26" i="29"/>
  <c r="L26" i="29"/>
  <c r="K26" i="29"/>
  <c r="J26" i="29"/>
  <c r="I26" i="29"/>
  <c r="H26" i="29"/>
  <c r="O2" i="29" s="1"/>
  <c r="G26" i="29"/>
  <c r="F26" i="29"/>
  <c r="E26" i="29"/>
  <c r="D26" i="29"/>
  <c r="C26" i="29"/>
  <c r="B26" i="29"/>
  <c r="M2" i="29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B26" i="28"/>
  <c r="M2" i="28"/>
  <c r="S26" i="27"/>
  <c r="R26" i="27"/>
  <c r="M2" i="27" s="1"/>
  <c r="Q26" i="27"/>
  <c r="P26" i="27"/>
  <c r="O26" i="27"/>
  <c r="N26" i="27"/>
  <c r="M26" i="27"/>
  <c r="L26" i="27"/>
  <c r="K26" i="27"/>
  <c r="J26" i="27"/>
  <c r="I26" i="27"/>
  <c r="H26" i="27"/>
  <c r="G26" i="27"/>
  <c r="U2" i="27" s="1"/>
  <c r="F26" i="27"/>
  <c r="E26" i="27"/>
  <c r="D26" i="27"/>
  <c r="C26" i="27"/>
  <c r="B26" i="27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M2" i="26"/>
  <c r="S26" i="25"/>
  <c r="R26" i="25"/>
  <c r="M2" i="25" s="1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O2" i="25" s="1"/>
  <c r="D26" i="25"/>
  <c r="C26" i="25"/>
  <c r="B26" i="25"/>
  <c r="S26" i="24"/>
  <c r="R26" i="24"/>
  <c r="M2" i="24" s="1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S26" i="23"/>
  <c r="R26" i="23"/>
  <c r="M2" i="23" s="1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O2" i="23" s="1"/>
  <c r="D26" i="23"/>
  <c r="C26" i="23"/>
  <c r="B26" i="23"/>
  <c r="S26" i="22"/>
  <c r="R26" i="22"/>
  <c r="Q26" i="22"/>
  <c r="P26" i="22"/>
  <c r="O26" i="22"/>
  <c r="N26" i="22"/>
  <c r="M26" i="22"/>
  <c r="L26" i="22"/>
  <c r="K26" i="22"/>
  <c r="J26" i="22"/>
  <c r="I26" i="22"/>
  <c r="H26" i="22"/>
  <c r="O2" i="22" s="1"/>
  <c r="G26" i="22"/>
  <c r="U2" i="22" s="1"/>
  <c r="F26" i="22"/>
  <c r="E26" i="22"/>
  <c r="D26" i="22"/>
  <c r="C26" i="22"/>
  <c r="B26" i="22"/>
  <c r="M2" i="22"/>
  <c r="S26" i="21"/>
  <c r="R26" i="21"/>
  <c r="M2" i="21" s="1"/>
  <c r="Q26" i="21"/>
  <c r="P26" i="21"/>
  <c r="O26" i="21"/>
  <c r="N26" i="21"/>
  <c r="M26" i="21"/>
  <c r="L26" i="21"/>
  <c r="K26" i="21"/>
  <c r="J26" i="21"/>
  <c r="I26" i="21"/>
  <c r="H26" i="21"/>
  <c r="O2" i="21" s="1"/>
  <c r="G26" i="21"/>
  <c r="U2" i="21" s="1"/>
  <c r="F26" i="21"/>
  <c r="E26" i="21"/>
  <c r="D26" i="21"/>
  <c r="C26" i="21"/>
  <c r="B26" i="21"/>
  <c r="S36" i="19"/>
  <c r="R36" i="19"/>
  <c r="M2" i="19" s="1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S36" i="18"/>
  <c r="R36" i="18"/>
  <c r="M2" i="18" s="1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Q2" i="18" s="1"/>
  <c r="D36" i="18"/>
  <c r="C36" i="18"/>
  <c r="B36" i="18"/>
  <c r="S36" i="17"/>
  <c r="R36" i="17"/>
  <c r="Q36" i="17"/>
  <c r="P36" i="17"/>
  <c r="O36" i="17"/>
  <c r="N36" i="17"/>
  <c r="M36" i="17"/>
  <c r="L36" i="17"/>
  <c r="K36" i="17"/>
  <c r="J36" i="17"/>
  <c r="Q2" i="17" s="1"/>
  <c r="I36" i="17"/>
  <c r="H36" i="17"/>
  <c r="G36" i="17"/>
  <c r="F36" i="17"/>
  <c r="E36" i="17"/>
  <c r="D36" i="17"/>
  <c r="C36" i="17"/>
  <c r="B36" i="17"/>
  <c r="M2" i="17"/>
  <c r="U2" i="17"/>
  <c r="S36" i="16"/>
  <c r="R36" i="16"/>
  <c r="M2" i="16" s="1"/>
  <c r="Q36" i="16"/>
  <c r="P36" i="16"/>
  <c r="O36" i="16"/>
  <c r="N36" i="16"/>
  <c r="M36" i="16"/>
  <c r="L36" i="16"/>
  <c r="K36" i="16"/>
  <c r="J36" i="16"/>
  <c r="I36" i="16"/>
  <c r="H36" i="16"/>
  <c r="G36" i="16"/>
  <c r="U2" i="16" s="1"/>
  <c r="F36" i="16"/>
  <c r="E36" i="16"/>
  <c r="O2" i="16" s="1"/>
  <c r="D36" i="16"/>
  <c r="C36" i="16"/>
  <c r="B36" i="16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M2" i="15"/>
  <c r="S36" i="14"/>
  <c r="R36" i="14"/>
  <c r="Q36" i="14"/>
  <c r="P36" i="14"/>
  <c r="O36" i="14"/>
  <c r="N36" i="14"/>
  <c r="M36" i="14"/>
  <c r="L36" i="14"/>
  <c r="K36" i="14"/>
  <c r="J36" i="14"/>
  <c r="I36" i="14"/>
  <c r="H36" i="14"/>
  <c r="O2" i="14" s="1"/>
  <c r="G36" i="14"/>
  <c r="F36" i="14"/>
  <c r="E36" i="14"/>
  <c r="D36" i="14"/>
  <c r="C36" i="14"/>
  <c r="B36" i="14"/>
  <c r="M2" i="14"/>
  <c r="S36" i="13"/>
  <c r="R36" i="13"/>
  <c r="M2" i="13" s="1"/>
  <c r="Q36" i="13"/>
  <c r="P36" i="13"/>
  <c r="O36" i="13"/>
  <c r="N36" i="13"/>
  <c r="M36" i="13"/>
  <c r="L36" i="13"/>
  <c r="K36" i="13"/>
  <c r="J36" i="13"/>
  <c r="Q2" i="13" s="1"/>
  <c r="I36" i="13"/>
  <c r="H36" i="13"/>
  <c r="U2" i="13" s="1"/>
  <c r="G36" i="13"/>
  <c r="F36" i="13"/>
  <c r="E36" i="13"/>
  <c r="O2" i="13" s="1"/>
  <c r="D36" i="13"/>
  <c r="C36" i="13"/>
  <c r="B36" i="13"/>
  <c r="S36" i="12"/>
  <c r="R36" i="12"/>
  <c r="M2" i="12" s="1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S36" i="11"/>
  <c r="R36" i="11"/>
  <c r="Q36" i="11"/>
  <c r="M2" i="11" s="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S36" i="10"/>
  <c r="R36" i="10"/>
  <c r="M2" i="10" s="1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Q2" i="10" s="1"/>
  <c r="D36" i="10"/>
  <c r="C36" i="10"/>
  <c r="B36" i="10"/>
  <c r="S36" i="9"/>
  <c r="R36" i="9"/>
  <c r="M2" i="9" s="1"/>
  <c r="Q36" i="9"/>
  <c r="P36" i="9"/>
  <c r="O36" i="9"/>
  <c r="N36" i="9"/>
  <c r="M36" i="9"/>
  <c r="L36" i="9"/>
  <c r="K36" i="9"/>
  <c r="J36" i="9"/>
  <c r="Q2" i="9" s="1"/>
  <c r="I36" i="9"/>
  <c r="H36" i="9"/>
  <c r="G36" i="9"/>
  <c r="U2" i="9" s="1"/>
  <c r="F36" i="9"/>
  <c r="E36" i="9"/>
  <c r="O2" i="9" s="1"/>
  <c r="D36" i="9"/>
  <c r="C36" i="9"/>
  <c r="B36" i="9"/>
  <c r="S36" i="8"/>
  <c r="R36" i="8"/>
  <c r="M2" i="8" s="1"/>
  <c r="Q36" i="8"/>
  <c r="P36" i="8"/>
  <c r="O36" i="8"/>
  <c r="N36" i="8"/>
  <c r="M36" i="8"/>
  <c r="L36" i="8"/>
  <c r="K36" i="8"/>
  <c r="J36" i="8"/>
  <c r="I36" i="8"/>
  <c r="H36" i="8"/>
  <c r="O2" i="8" s="1"/>
  <c r="G36" i="8"/>
  <c r="F36" i="8"/>
  <c r="E36" i="8"/>
  <c r="D36" i="8"/>
  <c r="C36" i="8"/>
  <c r="B36" i="8"/>
  <c r="O2" i="41" l="1"/>
  <c r="U2" i="41"/>
  <c r="Q2" i="41"/>
  <c r="U2" i="40"/>
  <c r="O2" i="40"/>
  <c r="Q2" i="40"/>
  <c r="O2" i="39"/>
  <c r="Q2" i="36"/>
  <c r="O2" i="36"/>
  <c r="U2" i="20"/>
  <c r="O2" i="20"/>
  <c r="Q2" i="20"/>
  <c r="Q2" i="35"/>
  <c r="Q2" i="34"/>
  <c r="U2" i="34"/>
  <c r="O2" i="34"/>
  <c r="O2" i="32"/>
  <c r="U2" i="32"/>
  <c r="Q2" i="31"/>
  <c r="U2" i="31"/>
  <c r="O2" i="31"/>
  <c r="O2" i="30"/>
  <c r="Q2" i="29"/>
  <c r="U2" i="29"/>
  <c r="U2" i="28"/>
  <c r="O2" i="28"/>
  <c r="Q2" i="28"/>
  <c r="Q2" i="27"/>
  <c r="O2" i="27"/>
  <c r="O2" i="26"/>
  <c r="U2" i="26"/>
  <c r="Q2" i="26"/>
  <c r="U2" i="25"/>
  <c r="Q2" i="25"/>
  <c r="U2" i="24"/>
  <c r="Q2" i="24"/>
  <c r="O2" i="24"/>
  <c r="U2" i="23"/>
  <c r="Q2" i="23"/>
  <c r="Q2" i="22"/>
  <c r="Q2" i="21"/>
  <c r="Q2" i="19"/>
  <c r="U2" i="19"/>
  <c r="O2" i="19"/>
  <c r="U2" i="18"/>
  <c r="O2" i="18"/>
  <c r="O2" i="17"/>
  <c r="Q2" i="16"/>
  <c r="U2" i="15"/>
  <c r="O2" i="15"/>
  <c r="Q2" i="15"/>
  <c r="Q2" i="14"/>
  <c r="U2" i="14"/>
  <c r="U2" i="12"/>
  <c r="Q2" i="12"/>
  <c r="O2" i="12"/>
  <c r="Q2" i="11"/>
  <c r="U2" i="11"/>
  <c r="O2" i="11"/>
  <c r="U2" i="10"/>
  <c r="O2" i="10"/>
  <c r="U2" i="8"/>
  <c r="Q2" i="8"/>
  <c r="S36" i="7" l="1"/>
  <c r="R36" i="7"/>
  <c r="Q36" i="7"/>
  <c r="P36" i="7"/>
  <c r="O36" i="7"/>
  <c r="N36" i="7"/>
  <c r="M36" i="7"/>
  <c r="L36" i="7"/>
  <c r="K36" i="7"/>
  <c r="J36" i="7"/>
  <c r="Q2" i="7" s="1"/>
  <c r="I36" i="7"/>
  <c r="H36" i="7"/>
  <c r="G36" i="7"/>
  <c r="F36" i="7"/>
  <c r="E36" i="7"/>
  <c r="D36" i="7"/>
  <c r="U2" i="7" s="1"/>
  <c r="C36" i="7"/>
  <c r="B36" i="7"/>
  <c r="M2" i="7"/>
  <c r="O2" i="7"/>
  <c r="S36" i="6"/>
  <c r="R36" i="6"/>
  <c r="M2" i="6" s="1"/>
  <c r="Q36" i="6"/>
  <c r="P36" i="6"/>
  <c r="O36" i="6"/>
  <c r="N36" i="6"/>
  <c r="M36" i="6"/>
  <c r="L36" i="6"/>
  <c r="K36" i="6"/>
  <c r="J36" i="6"/>
  <c r="I36" i="6"/>
  <c r="H36" i="6"/>
  <c r="G36" i="6"/>
  <c r="U2" i="6" s="1"/>
  <c r="F36" i="6"/>
  <c r="E36" i="6"/>
  <c r="O2" i="6" s="1"/>
  <c r="D36" i="6"/>
  <c r="C36" i="6"/>
  <c r="B36" i="6"/>
  <c r="Q2" i="6" l="1"/>
  <c r="U2" i="5"/>
  <c r="S36" i="5"/>
  <c r="R36" i="5"/>
  <c r="M2" i="5" s="1"/>
  <c r="Q36" i="5"/>
  <c r="P36" i="5"/>
  <c r="O36" i="5"/>
  <c r="N36" i="5"/>
  <c r="M36" i="5"/>
  <c r="L36" i="5"/>
  <c r="K36" i="5"/>
  <c r="J36" i="5"/>
  <c r="Q2" i="5" s="1"/>
  <c r="I36" i="5"/>
  <c r="H36" i="5"/>
  <c r="G36" i="5"/>
  <c r="F36" i="5"/>
  <c r="E36" i="5"/>
  <c r="O2" i="5" s="1"/>
  <c r="D36" i="5"/>
  <c r="C36" i="5"/>
  <c r="B36" i="5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M2" i="4"/>
  <c r="U2" i="4" l="1"/>
  <c r="O2" i="4"/>
  <c r="Q2" i="4"/>
</calcChain>
</file>

<file path=xl/sharedStrings.xml><?xml version="1.0" encoding="utf-8"?>
<sst xmlns="http://schemas.openxmlformats.org/spreadsheetml/2006/main" count="2240" uniqueCount="1040">
  <si>
    <t>11:44:12.21</t>
  </si>
  <si>
    <t>11:44:13.21</t>
  </si>
  <si>
    <t>11:44:14.21</t>
  </si>
  <si>
    <t>11:44:15.21</t>
  </si>
  <si>
    <t>11:44:16.21</t>
  </si>
  <si>
    <t>11:44:17.21</t>
  </si>
  <si>
    <t>11:44:18.21</t>
  </si>
  <si>
    <t>11:44:19.21</t>
  </si>
  <si>
    <t>11:44:20.21</t>
  </si>
  <si>
    <t>11:44:21.21</t>
  </si>
  <si>
    <t>11:44:22.21</t>
  </si>
  <si>
    <t>11:44:23.21</t>
  </si>
  <si>
    <t>11:44:24.21</t>
  </si>
  <si>
    <t>11:44:25.21</t>
  </si>
  <si>
    <t>11:44:26.21</t>
  </si>
  <si>
    <t>11:44:27.21</t>
  </si>
  <si>
    <t>11:44:28.21</t>
  </si>
  <si>
    <t>11:44:29.21</t>
  </si>
  <si>
    <t>11:44:30.21</t>
  </si>
  <si>
    <t>11:44:31.21</t>
  </si>
  <si>
    <t>11:44:32.21</t>
  </si>
  <si>
    <t>11:44:33.21</t>
  </si>
  <si>
    <t>11:44:34.21</t>
  </si>
  <si>
    <t>11:44:35.21</t>
  </si>
  <si>
    <t>11:44:36.21</t>
  </si>
  <si>
    <t>11:44:37.21</t>
  </si>
  <si>
    <t>11:44:38.21</t>
  </si>
  <si>
    <t>11:44:39.21</t>
  </si>
  <si>
    <t>11:44:40.21</t>
  </si>
  <si>
    <t>11:44:41.21</t>
  </si>
  <si>
    <t>moyenne</t>
  </si>
  <si>
    <t>PCI diesel (MJ/kg)</t>
  </si>
  <si>
    <t>PCI CH4 (MJ/kg)</t>
  </si>
  <si>
    <t>M CH4 (kg/mol)</t>
  </si>
  <si>
    <r>
      <t>ν CH4</t>
    </r>
    <r>
      <rPr>
        <b/>
        <sz val="9.35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(m3/mol)</t>
    </r>
  </si>
  <si>
    <t>ṁ CH4 (kg/h)</t>
  </si>
  <si>
    <t>% CH4 réel</t>
  </si>
  <si>
    <t>DES (%)</t>
  </si>
  <si>
    <t>η elec (%)</t>
  </si>
  <si>
    <t>Cp eau (MJ/m3.K)</t>
  </si>
  <si>
    <t>η therm (%)</t>
  </si>
  <si>
    <t>temps</t>
  </si>
  <si>
    <t>TE10(°C)</t>
  </si>
  <si>
    <t>TE02(°C)</t>
  </si>
  <si>
    <t>TE03(°C)</t>
  </si>
  <si>
    <t>FT05(kg/h)</t>
  </si>
  <si>
    <t>TT07(°C)</t>
  </si>
  <si>
    <t>FT07(l/min)</t>
  </si>
  <si>
    <t>FT08(ln/min)</t>
  </si>
  <si>
    <t>AT09(%CH4)</t>
  </si>
  <si>
    <t>JT11(kW)</t>
  </si>
  <si>
    <t>ET12(V)</t>
  </si>
  <si>
    <t>IT13(A)</t>
  </si>
  <si>
    <t>ST14(Hz)</t>
  </si>
  <si>
    <t>IT15(A)</t>
  </si>
  <si>
    <t>PT04(bar abs)</t>
  </si>
  <si>
    <t>Q CO2pd(ln/min)</t>
  </si>
  <si>
    <t>Q CO2gd(ln/min)</t>
  </si>
  <si>
    <t>Q CH4(ln/min)</t>
  </si>
  <si>
    <t>% vanne gaz</t>
  </si>
  <si>
    <t>12:05:19.71</t>
  </si>
  <si>
    <t>12:05:20.71</t>
  </si>
  <si>
    <t>12:05:21.71</t>
  </si>
  <si>
    <t>12:05:22.71</t>
  </si>
  <si>
    <t>12:05:23.71</t>
  </si>
  <si>
    <t>12:05:24.71</t>
  </si>
  <si>
    <t>12:05:25.71</t>
  </si>
  <si>
    <t>12:05:26.71</t>
  </si>
  <si>
    <t>12:05:27.71</t>
  </si>
  <si>
    <t>12:05:28.71</t>
  </si>
  <si>
    <t>12:05:29.71</t>
  </si>
  <si>
    <t>12:05:30.71</t>
  </si>
  <si>
    <t>12:05:31.71</t>
  </si>
  <si>
    <t>12:05:32.71</t>
  </si>
  <si>
    <t>12:05:33.71</t>
  </si>
  <si>
    <t>12:05:34.71</t>
  </si>
  <si>
    <t>12:05:35.71</t>
  </si>
  <si>
    <t>12:05:36.71</t>
  </si>
  <si>
    <t>12:05:37.71</t>
  </si>
  <si>
    <t>12:05:38.71</t>
  </si>
  <si>
    <t>12:05:39.71</t>
  </si>
  <si>
    <t>12:05:40.71</t>
  </si>
  <si>
    <t>12:05:41.71</t>
  </si>
  <si>
    <t>12:05:42.71</t>
  </si>
  <si>
    <t>12:05:43.71</t>
  </si>
  <si>
    <t>12:05:44.71</t>
  </si>
  <si>
    <t>12:05:45.71</t>
  </si>
  <si>
    <t>12:05:46.71</t>
  </si>
  <si>
    <t>12:05:47.71</t>
  </si>
  <si>
    <t>12:05:48.71</t>
  </si>
  <si>
    <t>13:02:03.78</t>
  </si>
  <si>
    <t>13:02:04.78</t>
  </si>
  <si>
    <t>13:02:05.78</t>
  </si>
  <si>
    <t>13:02:06.78</t>
  </si>
  <si>
    <t>13:02:07.78</t>
  </si>
  <si>
    <t>13:02:08.78</t>
  </si>
  <si>
    <t>13:02:09.78</t>
  </si>
  <si>
    <t>13:02:10.78</t>
  </si>
  <si>
    <t>13:02:11.78</t>
  </si>
  <si>
    <t>13:02:12.78</t>
  </si>
  <si>
    <t>13:02:13.78</t>
  </si>
  <si>
    <t>13:02:14.78</t>
  </si>
  <si>
    <t>13:02:15.78</t>
  </si>
  <si>
    <t>13:02:16.78</t>
  </si>
  <si>
    <t>13:02:17.78</t>
  </si>
  <si>
    <t>13:02:18.78</t>
  </si>
  <si>
    <t>13:02:19.78</t>
  </si>
  <si>
    <t>13:02:20.78</t>
  </si>
  <si>
    <t>13:02:21.78</t>
  </si>
  <si>
    <t>13:02:22.78</t>
  </si>
  <si>
    <t>13:02:23.78</t>
  </si>
  <si>
    <t>13:02:24.78</t>
  </si>
  <si>
    <t>13:02:25.78</t>
  </si>
  <si>
    <t>13:02:26.78</t>
  </si>
  <si>
    <t>13:02:27.78</t>
  </si>
  <si>
    <t>13:02:28.78</t>
  </si>
  <si>
    <t>13:02:29.78</t>
  </si>
  <si>
    <t>13:02:30.78</t>
  </si>
  <si>
    <t>13:02:31.78</t>
  </si>
  <si>
    <t>13:02:32.78</t>
  </si>
  <si>
    <t>13:12:54.68</t>
  </si>
  <si>
    <t>13:12:55.68</t>
  </si>
  <si>
    <t>13:12:56.68</t>
  </si>
  <si>
    <t>13:12:57.68</t>
  </si>
  <si>
    <t>13:12:58.68</t>
  </si>
  <si>
    <t>13:12:59.68</t>
  </si>
  <si>
    <t>13:13:00.68</t>
  </si>
  <si>
    <t>13:13:01.68</t>
  </si>
  <si>
    <t>13:13:02.68</t>
  </si>
  <si>
    <t>13:13:03.68</t>
  </si>
  <si>
    <t>13:13:04.68</t>
  </si>
  <si>
    <t>13:13:05.68</t>
  </si>
  <si>
    <t>13:13:06.68</t>
  </si>
  <si>
    <t>13:13:07.68</t>
  </si>
  <si>
    <t>13:13:08.68</t>
  </si>
  <si>
    <t>13:13:09.68</t>
  </si>
  <si>
    <t>13:13:10.68</t>
  </si>
  <si>
    <t>13:13:11.68</t>
  </si>
  <si>
    <t>13:13:12.68</t>
  </si>
  <si>
    <t>13:13:13.68</t>
  </si>
  <si>
    <t>13:13:14.68</t>
  </si>
  <si>
    <t>13:13:15.68</t>
  </si>
  <si>
    <t>13:13:16.68</t>
  </si>
  <si>
    <t>13:13:17.68</t>
  </si>
  <si>
    <t>13:13:18.68</t>
  </si>
  <si>
    <t>13:13:19.68</t>
  </si>
  <si>
    <t>13:13:20.68</t>
  </si>
  <si>
    <t>13:13:21.68</t>
  </si>
  <si>
    <t>13:13:22.68</t>
  </si>
  <si>
    <t>13:13:23.68</t>
  </si>
  <si>
    <t>14:24:43.06</t>
  </si>
  <si>
    <t>14:24:44.06</t>
  </si>
  <si>
    <t>14:24:45.06</t>
  </si>
  <si>
    <t>14:24:46.06</t>
  </si>
  <si>
    <t>14:24:47.06</t>
  </si>
  <si>
    <t>14:24:48.06</t>
  </si>
  <si>
    <t>14:24:49.06</t>
  </si>
  <si>
    <t>14:24:50.06</t>
  </si>
  <si>
    <t>14:24:51.06</t>
  </si>
  <si>
    <t>14:24:52.06</t>
  </si>
  <si>
    <t>14:24:53.06</t>
  </si>
  <si>
    <t>14:24:54.06</t>
  </si>
  <si>
    <t>14:24:55.06</t>
  </si>
  <si>
    <t>14:24:56.06</t>
  </si>
  <si>
    <t>14:24:57.06</t>
  </si>
  <si>
    <t>14:24:58.06</t>
  </si>
  <si>
    <t>14:24:59.06</t>
  </si>
  <si>
    <t>14:25:00.06</t>
  </si>
  <si>
    <t>14:25:01.06</t>
  </si>
  <si>
    <t>14:25:02.06</t>
  </si>
  <si>
    <t>14:25:03.06</t>
  </si>
  <si>
    <t>14:25:04.06</t>
  </si>
  <si>
    <t>14:25:05.06</t>
  </si>
  <si>
    <t>14:25:06.06</t>
  </si>
  <si>
    <t>14:25:07.06</t>
  </si>
  <si>
    <t>14:25:08.06</t>
  </si>
  <si>
    <t>14:25:09.06</t>
  </si>
  <si>
    <t>14:25:10.06</t>
  </si>
  <si>
    <t>14:25:11.06</t>
  </si>
  <si>
    <t>14:25:12.06</t>
  </si>
  <si>
    <t>14:25:56.66</t>
  </si>
  <si>
    <t>14:25:57.66</t>
  </si>
  <si>
    <t>14:25:58.66</t>
  </si>
  <si>
    <t>14:25:59.66</t>
  </si>
  <si>
    <t>14:26:00.66</t>
  </si>
  <si>
    <t>14:26:01.66</t>
  </si>
  <si>
    <t>14:26:02.66</t>
  </si>
  <si>
    <t>14:26:03.66</t>
  </si>
  <si>
    <t>14:26:04.66</t>
  </si>
  <si>
    <t>14:26:05.66</t>
  </si>
  <si>
    <t>14:26:06.66</t>
  </si>
  <si>
    <t>14:26:07.66</t>
  </si>
  <si>
    <t>14:26:08.66</t>
  </si>
  <si>
    <t>14:26:09.66</t>
  </si>
  <si>
    <t>14:26:10.66</t>
  </si>
  <si>
    <t>14:26:11.66</t>
  </si>
  <si>
    <t>14:26:12.66</t>
  </si>
  <si>
    <t>14:26:13.66</t>
  </si>
  <si>
    <t>14:26:14.66</t>
  </si>
  <si>
    <t>14:26:15.66</t>
  </si>
  <si>
    <t>14:26:16.66</t>
  </si>
  <si>
    <t>14:26:17.66</t>
  </si>
  <si>
    <t>14:26:18.66</t>
  </si>
  <si>
    <t>14:26:19.66</t>
  </si>
  <si>
    <t>14:26:20.66</t>
  </si>
  <si>
    <t>14:26:21.66</t>
  </si>
  <si>
    <t>14:26:22.66</t>
  </si>
  <si>
    <t>14:26:23.66</t>
  </si>
  <si>
    <t>14:26:24.66</t>
  </si>
  <si>
    <t>14:26:25.66</t>
  </si>
  <si>
    <t>14:27:16.46</t>
  </si>
  <si>
    <t>14:27:17.46</t>
  </si>
  <si>
    <t>14:27:18.46</t>
  </si>
  <si>
    <t>14:27:19.46</t>
  </si>
  <si>
    <t>14:27:20.46</t>
  </si>
  <si>
    <t>14:27:21.46</t>
  </si>
  <si>
    <t>14:27:22.46</t>
  </si>
  <si>
    <t>14:27:23.46</t>
  </si>
  <si>
    <t>14:27:24.46</t>
  </si>
  <si>
    <t>14:27:25.46</t>
  </si>
  <si>
    <t>14:27:26.46</t>
  </si>
  <si>
    <t>14:27:27.46</t>
  </si>
  <si>
    <t>14:27:28.46</t>
  </si>
  <si>
    <t>14:27:29.46</t>
  </si>
  <si>
    <t>14:27:30.46</t>
  </si>
  <si>
    <t>14:27:31.46</t>
  </si>
  <si>
    <t>14:27:32.46</t>
  </si>
  <si>
    <t>14:27:33.46</t>
  </si>
  <si>
    <t>14:27:34.46</t>
  </si>
  <si>
    <t>14:27:35.46</t>
  </si>
  <si>
    <t>14:27:36.46</t>
  </si>
  <si>
    <t>14:27:37.46</t>
  </si>
  <si>
    <t>14:27:38.46</t>
  </si>
  <si>
    <t>14:27:39.46</t>
  </si>
  <si>
    <t>14:27:40.46</t>
  </si>
  <si>
    <t>14:27:41.46</t>
  </si>
  <si>
    <t>14:27:42.46</t>
  </si>
  <si>
    <t>14:27:43.46</t>
  </si>
  <si>
    <t>14:27:44.46</t>
  </si>
  <si>
    <t>14:27:45.46</t>
  </si>
  <si>
    <t>14:28:41.36</t>
  </si>
  <si>
    <t>14:28:42.36</t>
  </si>
  <si>
    <t>14:28:43.36</t>
  </si>
  <si>
    <t>14:28:44.36</t>
  </si>
  <si>
    <t>14:28:45.36</t>
  </si>
  <si>
    <t>14:28:46.36</t>
  </si>
  <si>
    <t>14:28:47.36</t>
  </si>
  <si>
    <t>14:28:48.36</t>
  </si>
  <si>
    <t>14:28:49.36</t>
  </si>
  <si>
    <t>14:28:50.36</t>
  </si>
  <si>
    <t>14:28:51.36</t>
  </si>
  <si>
    <t>14:28:52.36</t>
  </si>
  <si>
    <t>14:28:53.36</t>
  </si>
  <si>
    <t>14:28:54.36</t>
  </si>
  <si>
    <t>14:28:55.36</t>
  </si>
  <si>
    <t>14:28:56.36</t>
  </si>
  <si>
    <t>14:28:57.36</t>
  </si>
  <si>
    <t>14:28:58.36</t>
  </si>
  <si>
    <t>14:28:59.36</t>
  </si>
  <si>
    <t>14:29:00.36</t>
  </si>
  <si>
    <t>14:29:01.36</t>
  </si>
  <si>
    <t>14:29:02.36</t>
  </si>
  <si>
    <t>14:29:03.36</t>
  </si>
  <si>
    <t>14:29:04.36</t>
  </si>
  <si>
    <t>14:29:05.36</t>
  </si>
  <si>
    <t>14:29:06.36</t>
  </si>
  <si>
    <t>14:29:07.36</t>
  </si>
  <si>
    <t>14:29:08.36</t>
  </si>
  <si>
    <t>14:29:09.36</t>
  </si>
  <si>
    <t>14:29:10.36</t>
  </si>
  <si>
    <t>14:31:49.86</t>
  </si>
  <si>
    <t>14:31:50.86</t>
  </si>
  <si>
    <t>14:31:51.86</t>
  </si>
  <si>
    <t>14:31:52.86</t>
  </si>
  <si>
    <t>14:31:53.86</t>
  </si>
  <si>
    <t>14:31:54.86</t>
  </si>
  <si>
    <t>14:31:55.86</t>
  </si>
  <si>
    <t>14:31:56.86</t>
  </si>
  <si>
    <t>14:31:57.86</t>
  </si>
  <si>
    <t>14:31:58.86</t>
  </si>
  <si>
    <t>14:31:59.86</t>
  </si>
  <si>
    <t>14:32:00.86</t>
  </si>
  <si>
    <t>14:32:01.86</t>
  </si>
  <si>
    <t>14:32:02.86</t>
  </si>
  <si>
    <t>14:32:03.86</t>
  </si>
  <si>
    <t>14:32:04.86</t>
  </si>
  <si>
    <t>14:32:05.86</t>
  </si>
  <si>
    <t>14:32:06.86</t>
  </si>
  <si>
    <t>14:32:07.86</t>
  </si>
  <si>
    <t>14:32:08.86</t>
  </si>
  <si>
    <t>14:32:09.86</t>
  </si>
  <si>
    <t>14:32:10.86</t>
  </si>
  <si>
    <t>14:32:11.86</t>
  </si>
  <si>
    <t>14:32:12.86</t>
  </si>
  <si>
    <t>14:32:13.86</t>
  </si>
  <si>
    <t>14:32:14.86</t>
  </si>
  <si>
    <t>14:32:15.86</t>
  </si>
  <si>
    <t>14:32:16.86</t>
  </si>
  <si>
    <t>14:32:17.86</t>
  </si>
  <si>
    <t>14:32:18.86</t>
  </si>
  <si>
    <t>14:33:10.36</t>
  </si>
  <si>
    <t>14:33:11.36</t>
  </si>
  <si>
    <t>14:33:12.36</t>
  </si>
  <si>
    <t>14:33:13.36</t>
  </si>
  <si>
    <t>14:33:14.36</t>
  </si>
  <si>
    <t>14:33:15.36</t>
  </si>
  <si>
    <t>14:33:16.36</t>
  </si>
  <si>
    <t>14:33:17.36</t>
  </si>
  <si>
    <t>14:33:18.36</t>
  </si>
  <si>
    <t>14:33:19.36</t>
  </si>
  <si>
    <t>14:33:20.36</t>
  </si>
  <si>
    <t>14:33:21.36</t>
  </si>
  <si>
    <t>14:33:22.36</t>
  </si>
  <si>
    <t>14:33:23.36</t>
  </si>
  <si>
    <t>14:33:24.36</t>
  </si>
  <si>
    <t>14:33:25.36</t>
  </si>
  <si>
    <t>14:33:26.36</t>
  </si>
  <si>
    <t>14:33:27.36</t>
  </si>
  <si>
    <t>14:33:28.36</t>
  </si>
  <si>
    <t>14:33:29.36</t>
  </si>
  <si>
    <t>14:33:30.36</t>
  </si>
  <si>
    <t>14:33:31.36</t>
  </si>
  <si>
    <t>14:33:32.36</t>
  </si>
  <si>
    <t>14:33:33.36</t>
  </si>
  <si>
    <t>14:33:34.36</t>
  </si>
  <si>
    <t>14:33:35.36</t>
  </si>
  <si>
    <t>14:33:36.36</t>
  </si>
  <si>
    <t>14:33:37.36</t>
  </si>
  <si>
    <t>14:33:38.36</t>
  </si>
  <si>
    <t>14:33:39.36</t>
  </si>
  <si>
    <t>14:34:31.16</t>
  </si>
  <si>
    <t>14:34:32.16</t>
  </si>
  <si>
    <t>14:34:33.16</t>
  </si>
  <si>
    <t>14:34:34.16</t>
  </si>
  <si>
    <t>14:34:35.16</t>
  </si>
  <si>
    <t>14:34:36.16</t>
  </si>
  <si>
    <t>14:34:37.16</t>
  </si>
  <si>
    <t>14:34:38.16</t>
  </si>
  <si>
    <t>14:34:39.16</t>
  </si>
  <si>
    <t>14:34:40.16</t>
  </si>
  <si>
    <t>14:34:41.16</t>
  </si>
  <si>
    <t>14:34:42.16</t>
  </si>
  <si>
    <t>14:34:43.16</t>
  </si>
  <si>
    <t>14:34:44.16</t>
  </si>
  <si>
    <t>14:34:45.16</t>
  </si>
  <si>
    <t>14:34:46.16</t>
  </si>
  <si>
    <t>14:34:47.16</t>
  </si>
  <si>
    <t>14:34:48.16</t>
  </si>
  <si>
    <t>14:34:49.16</t>
  </si>
  <si>
    <t>14:34:50.16</t>
  </si>
  <si>
    <t>14:34:51.16</t>
  </si>
  <si>
    <t>14:34:52.16</t>
  </si>
  <si>
    <t>14:34:53.16</t>
  </si>
  <si>
    <t>14:34:54.16</t>
  </si>
  <si>
    <t>14:34:55.16</t>
  </si>
  <si>
    <t>14:34:56.16</t>
  </si>
  <si>
    <t>14:34:57.16</t>
  </si>
  <si>
    <t>14:34:58.16</t>
  </si>
  <si>
    <t>14:34:59.16</t>
  </si>
  <si>
    <t>14:35:00.16</t>
  </si>
  <si>
    <t>14:36:14.96</t>
  </si>
  <si>
    <t>14:36:15.96</t>
  </si>
  <si>
    <t>14:36:16.96</t>
  </si>
  <si>
    <t>14:36:17.96</t>
  </si>
  <si>
    <t>14:36:18.96</t>
  </si>
  <si>
    <t>14:36:19.96</t>
  </si>
  <si>
    <t>14:36:20.96</t>
  </si>
  <si>
    <t>14:36:21.96</t>
  </si>
  <si>
    <t>14:36:22.96</t>
  </si>
  <si>
    <t>14:36:23.96</t>
  </si>
  <si>
    <t>14:36:24.96</t>
  </si>
  <si>
    <t>14:36:25.96</t>
  </si>
  <si>
    <t>14:36:26.96</t>
  </si>
  <si>
    <t>14:36:27.96</t>
  </si>
  <si>
    <t>14:36:28.96</t>
  </si>
  <si>
    <t>14:36:29.96</t>
  </si>
  <si>
    <t>14:36:30.96</t>
  </si>
  <si>
    <t>14:36:31.96</t>
  </si>
  <si>
    <t>14:36:32.96</t>
  </si>
  <si>
    <t>14:36:33.96</t>
  </si>
  <si>
    <t>14:36:34.96</t>
  </si>
  <si>
    <t>14:36:35.96</t>
  </si>
  <si>
    <t>14:36:36.96</t>
  </si>
  <si>
    <t>14:36:37.96</t>
  </si>
  <si>
    <t>14:36:38.96</t>
  </si>
  <si>
    <t>14:36:39.96</t>
  </si>
  <si>
    <t>14:36:40.96</t>
  </si>
  <si>
    <t>14:36:41.96</t>
  </si>
  <si>
    <t>14:36:42.96</t>
  </si>
  <si>
    <t>14:36:43.96</t>
  </si>
  <si>
    <t>14:38:35.16</t>
  </si>
  <si>
    <t>14:38:36.16</t>
  </si>
  <si>
    <t>14:38:37.16</t>
  </si>
  <si>
    <t>14:38:38.16</t>
  </si>
  <si>
    <t>14:38:39.16</t>
  </si>
  <si>
    <t>14:38:40.16</t>
  </si>
  <si>
    <t>14:38:41.16</t>
  </si>
  <si>
    <t>14:38:42.16</t>
  </si>
  <si>
    <t>14:38:43.16</t>
  </si>
  <si>
    <t>14:38:44.16</t>
  </si>
  <si>
    <t>14:38:45.16</t>
  </si>
  <si>
    <t>14:38:46.16</t>
  </si>
  <si>
    <t>14:38:47.16</t>
  </si>
  <si>
    <t>14:38:48.16</t>
  </si>
  <si>
    <t>14:38:49.16</t>
  </si>
  <si>
    <t>14:38:50.16</t>
  </si>
  <si>
    <t>14:38:51.16</t>
  </si>
  <si>
    <t>14:38:52.16</t>
  </si>
  <si>
    <t>14:38:53.16</t>
  </si>
  <si>
    <t>14:38:54.16</t>
  </si>
  <si>
    <t>14:38:55.16</t>
  </si>
  <si>
    <t>14:38:56.16</t>
  </si>
  <si>
    <t>14:38:57.16</t>
  </si>
  <si>
    <t>14:38:58.16</t>
  </si>
  <si>
    <t>14:38:59.16</t>
  </si>
  <si>
    <t>14:39:00.16</t>
  </si>
  <si>
    <t>14:39:01.16</t>
  </si>
  <si>
    <t>14:39:02.16</t>
  </si>
  <si>
    <t>14:39:03.16</t>
  </si>
  <si>
    <t>14:39:04.16</t>
  </si>
  <si>
    <t>14:39:32.86</t>
  </si>
  <si>
    <t>14:39:33.86</t>
  </si>
  <si>
    <t>14:39:34.86</t>
  </si>
  <si>
    <t>14:39:35.86</t>
  </si>
  <si>
    <t>14:39:36.86</t>
  </si>
  <si>
    <t>14:39:37.86</t>
  </si>
  <si>
    <t>14:39:38.86</t>
  </si>
  <si>
    <t>14:39:39.86</t>
  </si>
  <si>
    <t>14:39:40.86</t>
  </si>
  <si>
    <t>14:39:41.86</t>
  </si>
  <si>
    <t>14:39:42.86</t>
  </si>
  <si>
    <t>14:39:43.86</t>
  </si>
  <si>
    <t>14:39:44.86</t>
  </si>
  <si>
    <t>14:39:45.86</t>
  </si>
  <si>
    <t>14:39:46.86</t>
  </si>
  <si>
    <t>14:39:47.86</t>
  </si>
  <si>
    <t>14:39:48.86</t>
  </si>
  <si>
    <t>14:39:49.86</t>
  </si>
  <si>
    <t>14:39:50.86</t>
  </si>
  <si>
    <t>14:39:51.86</t>
  </si>
  <si>
    <t>14:39:52.86</t>
  </si>
  <si>
    <t>14:39:53.86</t>
  </si>
  <si>
    <t>14:39:54.86</t>
  </si>
  <si>
    <t>14:39:55.86</t>
  </si>
  <si>
    <t>14:39:56.86</t>
  </si>
  <si>
    <t>14:39:57.86</t>
  </si>
  <si>
    <t>14:39:58.86</t>
  </si>
  <si>
    <t>14:39:59.86</t>
  </si>
  <si>
    <t>14:40:00.86</t>
  </si>
  <si>
    <t>14:40:01.86</t>
  </si>
  <si>
    <t>14:40:49.16</t>
  </si>
  <si>
    <t>14:40:50.16</t>
  </si>
  <si>
    <t>14:40:51.16</t>
  </si>
  <si>
    <t>14:40:52.16</t>
  </si>
  <si>
    <t>14:40:53.16</t>
  </si>
  <si>
    <t>14:40:54.16</t>
  </si>
  <si>
    <t>14:40:55.16</t>
  </si>
  <si>
    <t>14:40:56.16</t>
  </si>
  <si>
    <t>14:40:57.16</t>
  </si>
  <si>
    <t>14:40:58.16</t>
  </si>
  <si>
    <t>14:40:59.16</t>
  </si>
  <si>
    <t>14:41:00.16</t>
  </si>
  <si>
    <t>14:41:01.16</t>
  </si>
  <si>
    <t>14:41:02.16</t>
  </si>
  <si>
    <t>14:41:03.16</t>
  </si>
  <si>
    <t>14:41:04.16</t>
  </si>
  <si>
    <t>14:41:05.16</t>
  </si>
  <si>
    <t>14:41:06.16</t>
  </si>
  <si>
    <t>14:41:07.16</t>
  </si>
  <si>
    <t>14:41:08.16</t>
  </si>
  <si>
    <t>14:41:09.16</t>
  </si>
  <si>
    <t>14:41:10.16</t>
  </si>
  <si>
    <t>14:41:11.16</t>
  </si>
  <si>
    <t>14:41:12.16</t>
  </si>
  <si>
    <t>14:41:13.16</t>
  </si>
  <si>
    <t>14:41:14.16</t>
  </si>
  <si>
    <t>14:41:15.16</t>
  </si>
  <si>
    <t>14:41:16.16</t>
  </si>
  <si>
    <t>14:41:17.16</t>
  </si>
  <si>
    <t>14:41:18.16</t>
  </si>
  <si>
    <t>14:42:45.56</t>
  </si>
  <si>
    <t>14:42:46.56</t>
  </si>
  <si>
    <t>14:42:47.56</t>
  </si>
  <si>
    <t>14:42:48.56</t>
  </si>
  <si>
    <t>14:42:49.56</t>
  </si>
  <si>
    <t>14:42:50.56</t>
  </si>
  <si>
    <t>14:42:51.56</t>
  </si>
  <si>
    <t>14:42:52.56</t>
  </si>
  <si>
    <t>14:42:53.56</t>
  </si>
  <si>
    <t>14:42:54.56</t>
  </si>
  <si>
    <t>14:42:55.56</t>
  </si>
  <si>
    <t>14:42:56.56</t>
  </si>
  <si>
    <t>14:42:57.56</t>
  </si>
  <si>
    <t>14:42:58.56</t>
  </si>
  <si>
    <t>14:42:59.56</t>
  </si>
  <si>
    <t>14:43:00.56</t>
  </si>
  <si>
    <t>14:43:01.56</t>
  </si>
  <si>
    <t>14:43:02.56</t>
  </si>
  <si>
    <t>14:43:03.56</t>
  </si>
  <si>
    <t>14:43:04.56</t>
  </si>
  <si>
    <t>14:43:05.56</t>
  </si>
  <si>
    <t>14:43:06.56</t>
  </si>
  <si>
    <t>14:43:07.56</t>
  </si>
  <si>
    <t>14:43:08.56</t>
  </si>
  <si>
    <t>14:43:09.56</t>
  </si>
  <si>
    <t>14:43:10.56</t>
  </si>
  <si>
    <t>14:43:11.56</t>
  </si>
  <si>
    <t>14:43:12.56</t>
  </si>
  <si>
    <t>14:43:13.56</t>
  </si>
  <si>
    <t>14:43:14.56</t>
  </si>
  <si>
    <t>15:17:53.56</t>
  </si>
  <si>
    <t>15:17:54.56</t>
  </si>
  <si>
    <t>15:17:55.56</t>
  </si>
  <si>
    <t>15:17:56.56</t>
  </si>
  <si>
    <t>15:17:57.56</t>
  </si>
  <si>
    <t>15:17:58.56</t>
  </si>
  <si>
    <t>15:17:59.56</t>
  </si>
  <si>
    <t>15:18:00.56</t>
  </si>
  <si>
    <t>15:18:01.56</t>
  </si>
  <si>
    <t>15:18:02.56</t>
  </si>
  <si>
    <t>15:18:03.56</t>
  </si>
  <si>
    <t>15:18:04.56</t>
  </si>
  <si>
    <t>15:18:05.56</t>
  </si>
  <si>
    <t>15:18:06.56</t>
  </si>
  <si>
    <t>15:18:07.56</t>
  </si>
  <si>
    <t>15:18:08.56</t>
  </si>
  <si>
    <t>15:18:09.56</t>
  </si>
  <si>
    <t>15:18:10.56</t>
  </si>
  <si>
    <t>15:18:11.56</t>
  </si>
  <si>
    <t>15:18:12.56</t>
  </si>
  <si>
    <t>15:19:46.56</t>
  </si>
  <si>
    <t>15:19:47.56</t>
  </si>
  <si>
    <t>15:19:48.56</t>
  </si>
  <si>
    <t>15:19:49.56</t>
  </si>
  <si>
    <t>15:19:50.56</t>
  </si>
  <si>
    <t>15:19:51.56</t>
  </si>
  <si>
    <t>15:19:52.56</t>
  </si>
  <si>
    <t>15:19:53.56</t>
  </si>
  <si>
    <t>15:19:54.56</t>
  </si>
  <si>
    <t>15:19:55.56</t>
  </si>
  <si>
    <t>15:19:56.56</t>
  </si>
  <si>
    <t>15:19:57.56</t>
  </si>
  <si>
    <t>15:19:58.56</t>
  </si>
  <si>
    <t>15:19:59.56</t>
  </si>
  <si>
    <t>15:20:00.56</t>
  </si>
  <si>
    <t>15:20:01.56</t>
  </si>
  <si>
    <t>15:20:02.56</t>
  </si>
  <si>
    <t>15:20:03.56</t>
  </si>
  <si>
    <t>15:20:04.56</t>
  </si>
  <si>
    <t>15:20:05.56</t>
  </si>
  <si>
    <t>15:26:22.56</t>
  </si>
  <si>
    <t>15:26:23.56</t>
  </si>
  <si>
    <t>15:26:24.56</t>
  </si>
  <si>
    <t>15:26:25.56</t>
  </si>
  <si>
    <t>15:26:26.56</t>
  </si>
  <si>
    <t>15:26:27.56</t>
  </si>
  <si>
    <t>15:26:28.56</t>
  </si>
  <si>
    <t>15:26:29.56</t>
  </si>
  <si>
    <t>15:26:30.56</t>
  </si>
  <si>
    <t>15:26:31.56</t>
  </si>
  <si>
    <t>15:26:32.56</t>
  </si>
  <si>
    <t>15:26:33.56</t>
  </si>
  <si>
    <t>15:26:34.56</t>
  </si>
  <si>
    <t>15:26:35.56</t>
  </si>
  <si>
    <t>15:26:36.56</t>
  </si>
  <si>
    <t>15:26:37.56</t>
  </si>
  <si>
    <t>15:26:38.56</t>
  </si>
  <si>
    <t>15:26:39.56</t>
  </si>
  <si>
    <t>15:26:40.56</t>
  </si>
  <si>
    <t>15:26:41.56</t>
  </si>
  <si>
    <t>15:27:46.46</t>
  </si>
  <si>
    <t>15:27:47.46</t>
  </si>
  <si>
    <t>15:27:48.46</t>
  </si>
  <si>
    <t>15:27:49.46</t>
  </si>
  <si>
    <t>15:27:50.46</t>
  </si>
  <si>
    <t>15:27:51.46</t>
  </si>
  <si>
    <t>15:27:52.46</t>
  </si>
  <si>
    <t>15:27:53.46</t>
  </si>
  <si>
    <t>15:27:54.46</t>
  </si>
  <si>
    <t>15:27:55.46</t>
  </si>
  <si>
    <t>15:27:56.46</t>
  </si>
  <si>
    <t>15:27:57.46</t>
  </si>
  <si>
    <t>15:27:58.46</t>
  </si>
  <si>
    <t>15:27:59.46</t>
  </si>
  <si>
    <t>15:28:00.46</t>
  </si>
  <si>
    <t>15:28:01.46</t>
  </si>
  <si>
    <t>15:28:02.46</t>
  </si>
  <si>
    <t>15:28:03.46</t>
  </si>
  <si>
    <t>15:28:04.46</t>
  </si>
  <si>
    <t>15:28:05.46</t>
  </si>
  <si>
    <t>15:29:16.16</t>
  </si>
  <si>
    <t>15:29:17.16</t>
  </si>
  <si>
    <t>15:29:18.16</t>
  </si>
  <si>
    <t>15:29:19.16</t>
  </si>
  <si>
    <t>15:29:20.16</t>
  </si>
  <si>
    <t>15:29:21.16</t>
  </si>
  <si>
    <t>15:29:22.16</t>
  </si>
  <si>
    <t>15:29:23.16</t>
  </si>
  <si>
    <t>15:29:24.16</t>
  </si>
  <si>
    <t>15:29:25.16</t>
  </si>
  <si>
    <t>15:29:26.16</t>
  </si>
  <si>
    <t>15:29:27.16</t>
  </si>
  <si>
    <t>15:29:28.16</t>
  </si>
  <si>
    <t>15:29:29.16</t>
  </si>
  <si>
    <t>15:29:30.16</t>
  </si>
  <si>
    <t>15:29:31.16</t>
  </si>
  <si>
    <t>15:29:32.16</t>
  </si>
  <si>
    <t>15:29:33.16</t>
  </si>
  <si>
    <t>15:29:34.16</t>
  </si>
  <si>
    <t>15:29:35.16</t>
  </si>
  <si>
    <t>15:30:14.76</t>
  </si>
  <si>
    <t>15:30:15.76</t>
  </si>
  <si>
    <t>15:30:16.76</t>
  </si>
  <si>
    <t>15:30:17.76</t>
  </si>
  <si>
    <t>15:30:18.76</t>
  </si>
  <si>
    <t>15:30:19.76</t>
  </si>
  <si>
    <t>15:30:20.76</t>
  </si>
  <si>
    <t>15:30:21.76</t>
  </si>
  <si>
    <t>15:30:22.76</t>
  </si>
  <si>
    <t>15:30:23.76</t>
  </si>
  <si>
    <t>15:30:24.76</t>
  </si>
  <si>
    <t>15:30:25.76</t>
  </si>
  <si>
    <t>15:30:26.76</t>
  </si>
  <si>
    <t>15:30:27.76</t>
  </si>
  <si>
    <t>15:30:28.76</t>
  </si>
  <si>
    <t>15:30:29.76</t>
  </si>
  <si>
    <t>15:30:30.76</t>
  </si>
  <si>
    <t>15:30:31.76</t>
  </si>
  <si>
    <t>15:30:32.76</t>
  </si>
  <si>
    <t>15:30:33.76</t>
  </si>
  <si>
    <t>15:31:16.16</t>
  </si>
  <si>
    <t>15:31:17.16</t>
  </si>
  <si>
    <t>15:31:18.16</t>
  </si>
  <si>
    <t>15:31:19.16</t>
  </si>
  <si>
    <t>15:31:20.16</t>
  </si>
  <si>
    <t>15:31:21.16</t>
  </si>
  <si>
    <t>15:31:22.16</t>
  </si>
  <si>
    <t>15:31:23.16</t>
  </si>
  <si>
    <t>15:31:24.16</t>
  </si>
  <si>
    <t>15:31:25.16</t>
  </si>
  <si>
    <t>15:31:26.16</t>
  </si>
  <si>
    <t>15:31:27.16</t>
  </si>
  <si>
    <t>15:31:28.16</t>
  </si>
  <si>
    <t>15:31:29.16</t>
  </si>
  <si>
    <t>15:31:30.16</t>
  </si>
  <si>
    <t>15:31:31.16</t>
  </si>
  <si>
    <t>15:31:32.16</t>
  </si>
  <si>
    <t>15:31:33.16</t>
  </si>
  <si>
    <t>15:31:34.16</t>
  </si>
  <si>
    <t>15:31:35.16</t>
  </si>
  <si>
    <t>15:32:12.06</t>
  </si>
  <si>
    <t>15:32:13.06</t>
  </si>
  <si>
    <t>15:32:14.06</t>
  </si>
  <si>
    <t>15:32:15.06</t>
  </si>
  <si>
    <t>15:32:16.06</t>
  </si>
  <si>
    <t>15:32:17.06</t>
  </si>
  <si>
    <t>15:32:18.06</t>
  </si>
  <si>
    <t>15:32:19.06</t>
  </si>
  <si>
    <t>15:32:20.06</t>
  </si>
  <si>
    <t>15:32:21.06</t>
  </si>
  <si>
    <t>15:32:22.06</t>
  </si>
  <si>
    <t>15:32:23.06</t>
  </si>
  <si>
    <t>15:32:24.06</t>
  </si>
  <si>
    <t>15:32:25.06</t>
  </si>
  <si>
    <t>15:32:26.06</t>
  </si>
  <si>
    <t>15:32:27.06</t>
  </si>
  <si>
    <t>15:32:28.06</t>
  </si>
  <si>
    <t>15:32:29.06</t>
  </si>
  <si>
    <t>15:32:30.06</t>
  </si>
  <si>
    <t>15:32:31.06</t>
  </si>
  <si>
    <t>15:35:38.36</t>
  </si>
  <si>
    <t>15:35:39.36</t>
  </si>
  <si>
    <t>15:35:40.36</t>
  </si>
  <si>
    <t>15:35:41.36</t>
  </si>
  <si>
    <t>15:35:42.36</t>
  </si>
  <si>
    <t>15:35:43.36</t>
  </si>
  <si>
    <t>15:35:44.36</t>
  </si>
  <si>
    <t>15:35:45.36</t>
  </si>
  <si>
    <t>15:35:46.36</t>
  </si>
  <si>
    <t>15:35:47.36</t>
  </si>
  <si>
    <t>15:35:48.36</t>
  </si>
  <si>
    <t>15:35:49.36</t>
  </si>
  <si>
    <t>15:35:50.36</t>
  </si>
  <si>
    <t>15:35:51.36</t>
  </si>
  <si>
    <t>15:35:52.36</t>
  </si>
  <si>
    <t>15:35:53.36</t>
  </si>
  <si>
    <t>15:35:54.36</t>
  </si>
  <si>
    <t>15:35:55.36</t>
  </si>
  <si>
    <t>15:35:56.36</t>
  </si>
  <si>
    <t>15:35:57.36</t>
  </si>
  <si>
    <t>15:36:33.36</t>
  </si>
  <si>
    <t>15:36:34.36</t>
  </si>
  <si>
    <t>15:36:35.36</t>
  </si>
  <si>
    <t>15:36:36.36</t>
  </si>
  <si>
    <t>15:36:37.36</t>
  </si>
  <si>
    <t>15:36:38.36</t>
  </si>
  <si>
    <t>15:36:39.36</t>
  </si>
  <si>
    <t>15:36:40.36</t>
  </si>
  <si>
    <t>15:36:41.36</t>
  </si>
  <si>
    <t>15:36:42.36</t>
  </si>
  <si>
    <t>15:36:43.36</t>
  </si>
  <si>
    <t>15:36:44.36</t>
  </si>
  <si>
    <t>15:36:45.36</t>
  </si>
  <si>
    <t>15:36:46.36</t>
  </si>
  <si>
    <t>15:36:47.36</t>
  </si>
  <si>
    <t>15:36:48.36</t>
  </si>
  <si>
    <t>15:36:49.36</t>
  </si>
  <si>
    <t>15:36:50.36</t>
  </si>
  <si>
    <t>15:36:51.36</t>
  </si>
  <si>
    <t>15:36:52.36</t>
  </si>
  <si>
    <t>15:37:23.16</t>
  </si>
  <si>
    <t>15:37:24.16</t>
  </si>
  <si>
    <t>15:37:25.16</t>
  </si>
  <si>
    <t>15:37:26.16</t>
  </si>
  <si>
    <t>15:37:27.16</t>
  </si>
  <si>
    <t>15:37:28.16</t>
  </si>
  <si>
    <t>15:37:29.16</t>
  </si>
  <si>
    <t>15:37:30.16</t>
  </si>
  <si>
    <t>15:37:31.16</t>
  </si>
  <si>
    <t>15:37:32.16</t>
  </si>
  <si>
    <t>15:37:33.16</t>
  </si>
  <si>
    <t>15:37:34.16</t>
  </si>
  <si>
    <t>15:37:35.16</t>
  </si>
  <si>
    <t>15:37:36.16</t>
  </si>
  <si>
    <t>15:37:37.16</t>
  </si>
  <si>
    <t>15:37:38.16</t>
  </si>
  <si>
    <t>15:37:39.16</t>
  </si>
  <si>
    <t>15:37:40.16</t>
  </si>
  <si>
    <t>15:37:41.16</t>
  </si>
  <si>
    <t>15:37:42.16</t>
  </si>
  <si>
    <t>15:38:14.56</t>
  </si>
  <si>
    <t>15:38:15.56</t>
  </si>
  <si>
    <t>15:38:16.56</t>
  </si>
  <si>
    <t>15:38:17.56</t>
  </si>
  <si>
    <t>15:38:18.56</t>
  </si>
  <si>
    <t>15:38:19.56</t>
  </si>
  <si>
    <t>15:38:20.56</t>
  </si>
  <si>
    <t>15:38:21.56</t>
  </si>
  <si>
    <t>15:38:22.56</t>
  </si>
  <si>
    <t>15:38:23.56</t>
  </si>
  <si>
    <t>15:38:24.56</t>
  </si>
  <si>
    <t>15:38:25.56</t>
  </si>
  <si>
    <t>15:38:26.56</t>
  </si>
  <si>
    <t>15:38:27.56</t>
  </si>
  <si>
    <t>15:38:28.56</t>
  </si>
  <si>
    <t>15:38:29.56</t>
  </si>
  <si>
    <t>15:38:30.56</t>
  </si>
  <si>
    <t>15:38:31.56</t>
  </si>
  <si>
    <t>15:38:32.56</t>
  </si>
  <si>
    <t>15:38:33.56</t>
  </si>
  <si>
    <t>15:39:08.26</t>
  </si>
  <si>
    <t>15:39:09.26</t>
  </si>
  <si>
    <t>15:39:10.26</t>
  </si>
  <si>
    <t>15:39:11.26</t>
  </si>
  <si>
    <t>15:39:12.26</t>
  </si>
  <si>
    <t>15:39:13.26</t>
  </si>
  <si>
    <t>15:39:14.26</t>
  </si>
  <si>
    <t>15:39:15.26</t>
  </si>
  <si>
    <t>15:39:16.26</t>
  </si>
  <si>
    <t>15:39:17.26</t>
  </si>
  <si>
    <t>15:39:18.26</t>
  </si>
  <si>
    <t>15:39:19.26</t>
  </si>
  <si>
    <t>15:39:20.26</t>
  </si>
  <si>
    <t>15:39:21.26</t>
  </si>
  <si>
    <t>15:39:22.26</t>
  </si>
  <si>
    <t>15:39:23.26</t>
  </si>
  <si>
    <t>15:39:24.26</t>
  </si>
  <si>
    <t>15:39:25.26</t>
  </si>
  <si>
    <t>15:39:26.26</t>
  </si>
  <si>
    <t>15:39:27.26</t>
  </si>
  <si>
    <t>15:40:08.46</t>
  </si>
  <si>
    <t>15:40:09.46</t>
  </si>
  <si>
    <t>15:40:10.46</t>
  </si>
  <si>
    <t>15:40:11.46</t>
  </si>
  <si>
    <t>15:40:12.46</t>
  </si>
  <si>
    <t>15:40:13.46</t>
  </si>
  <si>
    <t>15:40:14.46</t>
  </si>
  <si>
    <t>15:40:15.46</t>
  </si>
  <si>
    <t>15:40:16.46</t>
  </si>
  <si>
    <t>15:40:17.46</t>
  </si>
  <si>
    <t>15:40:18.46</t>
  </si>
  <si>
    <t>15:40:19.46</t>
  </si>
  <si>
    <t>15:40:20.46</t>
  </si>
  <si>
    <t>15:40:21.46</t>
  </si>
  <si>
    <t>15:40:22.46</t>
  </si>
  <si>
    <t>15:40:23.46</t>
  </si>
  <si>
    <t>15:40:24.46</t>
  </si>
  <si>
    <t>15:40:25.46</t>
  </si>
  <si>
    <t>15:40:26.46</t>
  </si>
  <si>
    <t>15:40:27.46</t>
  </si>
  <si>
    <t>15:41:05.26</t>
  </si>
  <si>
    <t>15:41:06.26</t>
  </si>
  <si>
    <t>15:41:07.26</t>
  </si>
  <si>
    <t>15:41:08.26</t>
  </si>
  <si>
    <t>15:41:09.26</t>
  </si>
  <si>
    <t>15:41:10.26</t>
  </si>
  <si>
    <t>15:41:11.26</t>
  </si>
  <si>
    <t>15:41:12.26</t>
  </si>
  <si>
    <t>15:41:13.26</t>
  </si>
  <si>
    <t>15:41:14.26</t>
  </si>
  <si>
    <t>15:41:15.26</t>
  </si>
  <si>
    <t>15:41:16.26</t>
  </si>
  <si>
    <t>15:41:17.26</t>
  </si>
  <si>
    <t>15:41:18.26</t>
  </si>
  <si>
    <t>15:41:19.26</t>
  </si>
  <si>
    <t>15:41:20.26</t>
  </si>
  <si>
    <t>15:41:21.26</t>
  </si>
  <si>
    <t>15:41:22.26</t>
  </si>
  <si>
    <t>15:41:23.26</t>
  </si>
  <si>
    <t>15:41:24.26</t>
  </si>
  <si>
    <t>15:45:38.26</t>
  </si>
  <si>
    <t>15:45:39.26</t>
  </si>
  <si>
    <t>15:45:40.26</t>
  </si>
  <si>
    <t>15:45:41.26</t>
  </si>
  <si>
    <t>15:45:42.26</t>
  </si>
  <si>
    <t>15:45:43.26</t>
  </si>
  <si>
    <t>15:45:44.26</t>
  </si>
  <si>
    <t>15:45:45.26</t>
  </si>
  <si>
    <t>15:45:46.26</t>
  </si>
  <si>
    <t>15:45:47.26</t>
  </si>
  <si>
    <t>15:45:48.26</t>
  </si>
  <si>
    <t>15:45:49.26</t>
  </si>
  <si>
    <t>15:45:50.26</t>
  </si>
  <si>
    <t>15:45:51.26</t>
  </si>
  <si>
    <t>15:45:52.26</t>
  </si>
  <si>
    <t>15:45:53.26</t>
  </si>
  <si>
    <t>15:45:54.26</t>
  </si>
  <si>
    <t>15:45:55.26</t>
  </si>
  <si>
    <t>15:45:56.26</t>
  </si>
  <si>
    <t>15:45:57.26</t>
  </si>
  <si>
    <t>15:46:50.76</t>
  </si>
  <si>
    <t>15:46:51.76</t>
  </si>
  <si>
    <t>15:46:52.76</t>
  </si>
  <si>
    <t>15:46:53.76</t>
  </si>
  <si>
    <t>15:46:54.76</t>
  </si>
  <si>
    <t>15:46:55.76</t>
  </si>
  <si>
    <t>15:46:56.76</t>
  </si>
  <si>
    <t>15:46:57.76</t>
  </si>
  <si>
    <t>15:46:58.76</t>
  </si>
  <si>
    <t>15:46:59.76</t>
  </si>
  <si>
    <t>15:47:00.76</t>
  </si>
  <si>
    <t>15:47:01.76</t>
  </si>
  <si>
    <t>15:47:02.76</t>
  </si>
  <si>
    <t>15:47:03.76</t>
  </si>
  <si>
    <t>15:47:04.76</t>
  </si>
  <si>
    <t>15:47:05.76</t>
  </si>
  <si>
    <t>15:47:06.76</t>
  </si>
  <si>
    <t>15:47:07.76</t>
  </si>
  <si>
    <t>15:47:08.76</t>
  </si>
  <si>
    <t>15:47:09.76</t>
  </si>
  <si>
    <t>15:47:42.86</t>
  </si>
  <si>
    <t>15:47:43.85</t>
  </si>
  <si>
    <t>15:47:44.86</t>
  </si>
  <si>
    <t>15:47:45.86</t>
  </si>
  <si>
    <t>15:47:46.86</t>
  </si>
  <si>
    <t>15:47:47.86</t>
  </si>
  <si>
    <t>15:47:48.86</t>
  </si>
  <si>
    <t>15:47:49.86</t>
  </si>
  <si>
    <t>15:47:50.86</t>
  </si>
  <si>
    <t>15:47:51.86</t>
  </si>
  <si>
    <t>15:47:52.86</t>
  </si>
  <si>
    <t>15:47:53.86</t>
  </si>
  <si>
    <t>15:47:54.86</t>
  </si>
  <si>
    <t>15:47:55.86</t>
  </si>
  <si>
    <t>15:47:56.86</t>
  </si>
  <si>
    <t>15:47:57.86</t>
  </si>
  <si>
    <t>15:47:58.86</t>
  </si>
  <si>
    <t>15:47:59.86</t>
  </si>
  <si>
    <t>15:48:00.86</t>
  </si>
  <si>
    <t>15:48:01.85</t>
  </si>
  <si>
    <t>15:48:46.86</t>
  </si>
  <si>
    <t>15:48:47.86</t>
  </si>
  <si>
    <t>15:48:48.86</t>
  </si>
  <si>
    <t>15:48:49.86</t>
  </si>
  <si>
    <t>15:48:50.86</t>
  </si>
  <si>
    <t>15:48:51.86</t>
  </si>
  <si>
    <t>15:48:52.85</t>
  </si>
  <si>
    <t>15:48:53.85</t>
  </si>
  <si>
    <t>15:48:54.86</t>
  </si>
  <si>
    <t>15:48:55.86</t>
  </si>
  <si>
    <t>15:48:56.86</t>
  </si>
  <si>
    <t>15:48:57.86</t>
  </si>
  <si>
    <t>15:48:58.86</t>
  </si>
  <si>
    <t>15:48:59.86</t>
  </si>
  <si>
    <t>15:49:00.86</t>
  </si>
  <si>
    <t>15:49:01.86</t>
  </si>
  <si>
    <t>15:49:02.86</t>
  </si>
  <si>
    <t>15:49:03.86</t>
  </si>
  <si>
    <t>15:49:04.86</t>
  </si>
  <si>
    <t>15:49:05.86</t>
  </si>
  <si>
    <t>15:50:06.56</t>
  </si>
  <si>
    <t>15:50:07.56</t>
  </si>
  <si>
    <t>15:50:08.56</t>
  </si>
  <si>
    <t>15:50:09.56</t>
  </si>
  <si>
    <t>15:50:10.56</t>
  </si>
  <si>
    <t>15:50:11.56</t>
  </si>
  <si>
    <t>15:50:12.56</t>
  </si>
  <si>
    <t>15:50:13.56</t>
  </si>
  <si>
    <t>15:50:14.56</t>
  </si>
  <si>
    <t>15:50:15.56</t>
  </si>
  <si>
    <t>15:50:16.56</t>
  </si>
  <si>
    <t>15:50:17.56</t>
  </si>
  <si>
    <t>15:50:18.55</t>
  </si>
  <si>
    <t>15:50:19.55</t>
  </si>
  <si>
    <t>15:50:20.55</t>
  </si>
  <si>
    <t>15:50:21.55</t>
  </si>
  <si>
    <t>15:50:22.56</t>
  </si>
  <si>
    <t>15:50:23.56</t>
  </si>
  <si>
    <t>15:50:24.56</t>
  </si>
  <si>
    <t>15:50:25.56</t>
  </si>
  <si>
    <t>15:59:26.46</t>
  </si>
  <si>
    <t>15:59:27.46</t>
  </si>
  <si>
    <t>15:59:28.46</t>
  </si>
  <si>
    <t>15:59:29.45</t>
  </si>
  <si>
    <t>15:59:30.45</t>
  </si>
  <si>
    <t>15:59:31.45</t>
  </si>
  <si>
    <t>15:59:32.45</t>
  </si>
  <si>
    <t>15:59:33.45</t>
  </si>
  <si>
    <t>15:59:34.45</t>
  </si>
  <si>
    <t>15:59:35.45</t>
  </si>
  <si>
    <t>15:59:36.45</t>
  </si>
  <si>
    <t>15:59:37.45</t>
  </si>
  <si>
    <t>15:59:38.45</t>
  </si>
  <si>
    <t>15:59:39.45</t>
  </si>
  <si>
    <t>15:59:40.45</t>
  </si>
  <si>
    <t>15:59:41.46</t>
  </si>
  <si>
    <t>15:59:42.46</t>
  </si>
  <si>
    <t>15:59:43.46</t>
  </si>
  <si>
    <t>15:59:44.46</t>
  </si>
  <si>
    <t>15:59:45.46</t>
  </si>
  <si>
    <t>14:44:50.86</t>
  </si>
  <si>
    <t>14:44:51.86</t>
  </si>
  <si>
    <t>14:44:52.86</t>
  </si>
  <si>
    <t>14:44:53.86</t>
  </si>
  <si>
    <t>14:44:54.86</t>
  </si>
  <si>
    <t>14:44:55.86</t>
  </si>
  <si>
    <t>14:44:56.86</t>
  </si>
  <si>
    <t>14:44:57.86</t>
  </si>
  <si>
    <t>14:44:58.86</t>
  </si>
  <si>
    <t>14:44:59.86</t>
  </si>
  <si>
    <t>14:45:00.86</t>
  </si>
  <si>
    <t>14:45:01.86</t>
  </si>
  <si>
    <t>14:45:02.86</t>
  </si>
  <si>
    <t>14:45:03.86</t>
  </si>
  <si>
    <t>14:45:04.86</t>
  </si>
  <si>
    <t>14:45:05.86</t>
  </si>
  <si>
    <t>14:45:06.86</t>
  </si>
  <si>
    <t>14:45:07.86</t>
  </si>
  <si>
    <t>14:45:08.86</t>
  </si>
  <si>
    <t>14:45:09.86</t>
  </si>
  <si>
    <t>14:45:10.86</t>
  </si>
  <si>
    <t>14:45:11.86</t>
  </si>
  <si>
    <t>14:45:12.86</t>
  </si>
  <si>
    <t>14:45:13.86</t>
  </si>
  <si>
    <t>14:45:14.86</t>
  </si>
  <si>
    <t>14:45:15.86</t>
  </si>
  <si>
    <t>14:45:16.86</t>
  </si>
  <si>
    <t>14:45:17.86</t>
  </si>
  <si>
    <t>14:45:18.86</t>
  </si>
  <si>
    <t>14:45:19.86</t>
  </si>
  <si>
    <t>14:47:07.96</t>
  </si>
  <si>
    <t>14:47:08.96</t>
  </si>
  <si>
    <t>14:47:09.96</t>
  </si>
  <si>
    <t>14:47:10.96</t>
  </si>
  <si>
    <t>14:47:11.96</t>
  </si>
  <si>
    <t>14:47:12.96</t>
  </si>
  <si>
    <t>14:47:13.96</t>
  </si>
  <si>
    <t>14:47:14.96</t>
  </si>
  <si>
    <t>14:47:15.96</t>
  </si>
  <si>
    <t>14:47:16.96</t>
  </si>
  <si>
    <t>14:47:17.96</t>
  </si>
  <si>
    <t>14:47:18.96</t>
  </si>
  <si>
    <t>14:47:19.96</t>
  </si>
  <si>
    <t>14:47:20.96</t>
  </si>
  <si>
    <t>14:47:21.96</t>
  </si>
  <si>
    <t>14:47:22.96</t>
  </si>
  <si>
    <t>14:47:23.96</t>
  </si>
  <si>
    <t>14:47:24.96</t>
  </si>
  <si>
    <t>14:47:25.96</t>
  </si>
  <si>
    <t>14:47:26.96</t>
  </si>
  <si>
    <t>14:47:27.96</t>
  </si>
  <si>
    <t>14:47:28.96</t>
  </si>
  <si>
    <t>14:47:29.96</t>
  </si>
  <si>
    <t>14:47:30.96</t>
  </si>
  <si>
    <t>14:47:31.96</t>
  </si>
  <si>
    <t>14:47:32.96</t>
  </si>
  <si>
    <t>14:47:33.96</t>
  </si>
  <si>
    <t>14:47:34.96</t>
  </si>
  <si>
    <t>14:47:35.96</t>
  </si>
  <si>
    <t>14:47:36.96</t>
  </si>
  <si>
    <t>14:48:39.46</t>
  </si>
  <si>
    <t>14:48:40.46</t>
  </si>
  <si>
    <t>14:48:41.46</t>
  </si>
  <si>
    <t>14:48:42.46</t>
  </si>
  <si>
    <t>14:48:43.46</t>
  </si>
  <si>
    <t>14:48:44.46</t>
  </si>
  <si>
    <t>14:48:45.46</t>
  </si>
  <si>
    <t>14:48:46.46</t>
  </si>
  <si>
    <t>14:48:47.46</t>
  </si>
  <si>
    <t>14:48:48.46</t>
  </si>
  <si>
    <t>14:48:49.46</t>
  </si>
  <si>
    <t>14:48:50.46</t>
  </si>
  <si>
    <t>14:48:51.46</t>
  </si>
  <si>
    <t>14:48:52.46</t>
  </si>
  <si>
    <t>14:48:53.46</t>
  </si>
  <si>
    <t>14:48:54.46</t>
  </si>
  <si>
    <t>14:48:55.46</t>
  </si>
  <si>
    <t>14:48:56.46</t>
  </si>
  <si>
    <t>14:48:57.46</t>
  </si>
  <si>
    <t>14:48:58.46</t>
  </si>
  <si>
    <t>14:48:59.46</t>
  </si>
  <si>
    <t>14:49:00.46</t>
  </si>
  <si>
    <t>14:49:01.46</t>
  </si>
  <si>
    <t>14:49:02.46</t>
  </si>
  <si>
    <t>14:49:03.46</t>
  </si>
  <si>
    <t>14:49:04.46</t>
  </si>
  <si>
    <t>14:49:05.46</t>
  </si>
  <si>
    <t>14:49:06.46</t>
  </si>
  <si>
    <t>14:49:07.46</t>
  </si>
  <si>
    <t>14:49:08.46</t>
  </si>
  <si>
    <t>14:50:11.26</t>
  </si>
  <si>
    <t>14:50:12.26</t>
  </si>
  <si>
    <t>14:50:13.26</t>
  </si>
  <si>
    <t>14:50:14.26</t>
  </si>
  <si>
    <t>14:50:15.26</t>
  </si>
  <si>
    <t>14:50:16.26</t>
  </si>
  <si>
    <t>14:50:17.26</t>
  </si>
  <si>
    <t>14:50:18.26</t>
  </si>
  <si>
    <t>14:50:19.26</t>
  </si>
  <si>
    <t>14:50:20.26</t>
  </si>
  <si>
    <t>14:50:21.26</t>
  </si>
  <si>
    <t>14:50:22.26</t>
  </si>
  <si>
    <t>14:50:23.26</t>
  </si>
  <si>
    <t>14:50:24.26</t>
  </si>
  <si>
    <t>14:50:25.26</t>
  </si>
  <si>
    <t>14:50:26.26</t>
  </si>
  <si>
    <t>14:50:27.26</t>
  </si>
  <si>
    <t>14:50:28.26</t>
  </si>
  <si>
    <t>14:50:29.26</t>
  </si>
  <si>
    <t>14:50:30.26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</si>
</sst>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.35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2" fillId="0" borderId="0" xfId="0" applyFont="1"/>
    <xf numFmtId="21" fontId="0" fillId="0" borderId="0" xfId="0" applyNumberFormat="1"/>
    <xf numFmtId="0" fontId="0" fillId="3" borderId="1" xfId="0" applyFill="1" applyBorder="1"/>
    <xf numFmtId="0" fontId="4" fillId="3" borderId="1" xfId="0" applyFont="1" applyFill="1" applyBorder="1"/>
    <xf numFmtId="0" fontId="0" fillId="2" borderId="1" xfId="0" applyFill="1" applyBorder="1"/>
    <xf numFmtId="0" fontId="4" fillId="4" borderId="0" xfId="0" applyFont="1" applyFill="1"/>
    <xf numFmtId="0" fontId="0" fillId="4" borderId="0" xfId="0" applyFill="1"/>
    <xf numFmtId="0" fontId="0" fillId="2" borderId="0" xfId="0" applyFill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B550-4CC8-4C65-AE2F-09F9ED532587}">
  <dimension ref="A1:U26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32" sqref="I3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0.64973379629629635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1.6481853952190224</v>
      </c>
      <c r="M2" s="8">
        <f>100*(R26/(R26+Q26))</f>
        <v>71.030511588923645</v>
      </c>
      <c r="O2" s="9">
        <f>100*((E26*C2)/((E26*C2)+(K2*E2)))</f>
        <v>14.703950240507391</v>
      </c>
      <c r="Q2" s="10">
        <f>100*J26*(1/(((C2/3.6)*E26)+((E2/3.6)*K2)))</f>
        <v>3.0535758155375632E-2</v>
      </c>
      <c r="S2" s="6">
        <v>3.54</v>
      </c>
      <c r="U2" s="10">
        <f>100*((((G26*0.001*60)*(C26-D26)*(S2/3.6)))/(((C2/3.6)*E26)+((E2/3.6)*K2)))</f>
        <v>34.369639747749133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670</v>
      </c>
      <c r="B6">
        <v>166.29</v>
      </c>
      <c r="C6">
        <v>69.457999999999998</v>
      </c>
      <c r="D6">
        <v>50.515999999999998</v>
      </c>
      <c r="E6">
        <v>0.33800000000000002</v>
      </c>
      <c r="F6">
        <v>79.84</v>
      </c>
      <c r="G6">
        <v>8.2539999999999996</v>
      </c>
      <c r="H6">
        <v>53.609000000000002</v>
      </c>
      <c r="I6">
        <v>67.991</v>
      </c>
      <c r="J6">
        <v>2E-3</v>
      </c>
      <c r="K6">
        <v>229.583</v>
      </c>
      <c r="L6">
        <v>0.106</v>
      </c>
      <c r="M6">
        <v>52.878999999999998</v>
      </c>
      <c r="N6">
        <v>0</v>
      </c>
      <c r="O6">
        <v>0.85099999999999998</v>
      </c>
      <c r="P6">
        <v>0</v>
      </c>
      <c r="Q6">
        <v>13.904</v>
      </c>
      <c r="R6">
        <v>35.6</v>
      </c>
      <c r="S6">
        <v>8.0299999999999994</v>
      </c>
    </row>
    <row r="7" spans="1:21" x14ac:dyDescent="0.3">
      <c r="A7" t="s">
        <v>671</v>
      </c>
      <c r="B7">
        <v>166.101</v>
      </c>
      <c r="C7">
        <v>69.399000000000001</v>
      </c>
      <c r="D7">
        <v>50.368000000000002</v>
      </c>
      <c r="E7">
        <v>0.33</v>
      </c>
      <c r="F7">
        <v>79.59</v>
      </c>
      <c r="G7">
        <v>8.8580000000000005</v>
      </c>
      <c r="H7">
        <v>53.712000000000003</v>
      </c>
      <c r="I7">
        <v>67.674999999999997</v>
      </c>
      <c r="J7">
        <v>2E-3</v>
      </c>
      <c r="K7">
        <v>229.86199999999999</v>
      </c>
      <c r="L7">
        <v>7.0999999999999994E-2</v>
      </c>
      <c r="M7">
        <v>52.847000000000001</v>
      </c>
      <c r="N7">
        <v>0</v>
      </c>
      <c r="O7">
        <v>0.86599999999999999</v>
      </c>
      <c r="P7">
        <v>0</v>
      </c>
      <c r="Q7">
        <v>13.959</v>
      </c>
      <c r="R7">
        <v>35.6</v>
      </c>
      <c r="S7">
        <v>8.0299999999999994</v>
      </c>
    </row>
    <row r="8" spans="1:21" x14ac:dyDescent="0.3">
      <c r="A8" t="s">
        <v>672</v>
      </c>
      <c r="B8">
        <v>165.65899999999999</v>
      </c>
      <c r="C8">
        <v>69.426000000000002</v>
      </c>
      <c r="D8">
        <v>50.207000000000001</v>
      </c>
      <c r="E8">
        <v>0.33400000000000002</v>
      </c>
      <c r="F8">
        <v>80.257000000000005</v>
      </c>
      <c r="G8">
        <v>8.5969999999999995</v>
      </c>
      <c r="H8">
        <v>53.887999999999998</v>
      </c>
      <c r="I8">
        <v>67.793999999999997</v>
      </c>
      <c r="J8">
        <v>2E-3</v>
      </c>
      <c r="K8">
        <v>229.53399999999999</v>
      </c>
      <c r="L8">
        <v>7.3999999999999996E-2</v>
      </c>
      <c r="M8">
        <v>52.843000000000004</v>
      </c>
      <c r="N8">
        <v>0</v>
      </c>
      <c r="O8">
        <v>0.84799999999999998</v>
      </c>
      <c r="P8">
        <v>0</v>
      </c>
      <c r="Q8">
        <v>14.044</v>
      </c>
      <c r="R8">
        <v>35.5</v>
      </c>
      <c r="S8">
        <v>8.0299999999999994</v>
      </c>
    </row>
    <row r="9" spans="1:21" x14ac:dyDescent="0.3">
      <c r="A9" t="s">
        <v>673</v>
      </c>
      <c r="B9">
        <v>165.55600000000001</v>
      </c>
      <c r="C9">
        <v>69.396000000000001</v>
      </c>
      <c r="D9">
        <v>50.072000000000003</v>
      </c>
      <c r="E9">
        <v>0.33900000000000002</v>
      </c>
      <c r="F9">
        <v>79.59</v>
      </c>
      <c r="G9">
        <v>8.2110000000000003</v>
      </c>
      <c r="H9">
        <v>54.03</v>
      </c>
      <c r="I9">
        <v>67.86</v>
      </c>
      <c r="J9">
        <v>1E-3</v>
      </c>
      <c r="K9">
        <v>229.91200000000001</v>
      </c>
      <c r="L9">
        <v>0.121</v>
      </c>
      <c r="M9">
        <v>52.804000000000002</v>
      </c>
      <c r="N9">
        <v>0</v>
      </c>
      <c r="O9">
        <v>0.85499999999999998</v>
      </c>
      <c r="P9">
        <v>0</v>
      </c>
      <c r="Q9">
        <v>14.103</v>
      </c>
      <c r="R9">
        <v>35.5</v>
      </c>
      <c r="S9">
        <v>8.0299999999999994</v>
      </c>
    </row>
    <row r="10" spans="1:21" x14ac:dyDescent="0.3">
      <c r="A10" t="s">
        <v>674</v>
      </c>
      <c r="B10">
        <v>165.50800000000001</v>
      </c>
      <c r="C10">
        <v>69.484999999999999</v>
      </c>
      <c r="D10">
        <v>49.914999999999999</v>
      </c>
      <c r="E10">
        <v>0.34799999999999998</v>
      </c>
      <c r="F10">
        <v>80.418000000000006</v>
      </c>
      <c r="G10">
        <v>7.6970000000000001</v>
      </c>
      <c r="H10">
        <v>53.935000000000002</v>
      </c>
      <c r="I10">
        <v>67.593000000000004</v>
      </c>
      <c r="J10">
        <v>0</v>
      </c>
      <c r="K10">
        <v>229.59899999999999</v>
      </c>
      <c r="L10">
        <v>0</v>
      </c>
      <c r="M10">
        <v>52.673999999999999</v>
      </c>
      <c r="N10">
        <v>0</v>
      </c>
      <c r="O10">
        <v>0.84599999999999997</v>
      </c>
      <c r="P10">
        <v>0</v>
      </c>
      <c r="Q10">
        <v>14.159000000000001</v>
      </c>
      <c r="R10">
        <v>35.4</v>
      </c>
      <c r="S10">
        <v>8.0299999999999994</v>
      </c>
    </row>
    <row r="11" spans="1:21" x14ac:dyDescent="0.3">
      <c r="A11" t="s">
        <v>675</v>
      </c>
      <c r="B11">
        <v>165.43600000000001</v>
      </c>
      <c r="C11">
        <v>69.415999999999997</v>
      </c>
      <c r="D11">
        <v>49.783000000000001</v>
      </c>
      <c r="E11">
        <v>0.34699999999999998</v>
      </c>
      <c r="F11">
        <v>80.486999999999995</v>
      </c>
      <c r="G11">
        <v>8.452</v>
      </c>
      <c r="H11">
        <v>53.878999999999998</v>
      </c>
      <c r="I11">
        <v>67.772999999999996</v>
      </c>
      <c r="J11">
        <v>2E-3</v>
      </c>
      <c r="K11">
        <v>229.81299999999999</v>
      </c>
      <c r="L11">
        <v>7.0000000000000001E-3</v>
      </c>
      <c r="M11">
        <v>52.767000000000003</v>
      </c>
      <c r="N11">
        <v>0</v>
      </c>
      <c r="O11">
        <v>0.86099999999999999</v>
      </c>
      <c r="P11">
        <v>0</v>
      </c>
      <c r="Q11">
        <v>14.228</v>
      </c>
      <c r="R11">
        <v>35.299999999999997</v>
      </c>
      <c r="S11">
        <v>8.0299999999999994</v>
      </c>
    </row>
    <row r="12" spans="1:21" x14ac:dyDescent="0.3">
      <c r="A12" t="s">
        <v>676</v>
      </c>
      <c r="B12">
        <v>165.386</v>
      </c>
      <c r="C12">
        <v>69.429000000000002</v>
      </c>
      <c r="D12">
        <v>49.609000000000002</v>
      </c>
      <c r="E12">
        <v>0.34499999999999997</v>
      </c>
      <c r="F12">
        <v>79.004999999999995</v>
      </c>
      <c r="G12">
        <v>7.5739999999999998</v>
      </c>
      <c r="H12">
        <v>53.945</v>
      </c>
      <c r="I12">
        <v>67.712000000000003</v>
      </c>
      <c r="J12">
        <v>2E-3</v>
      </c>
      <c r="K12">
        <v>229.69800000000001</v>
      </c>
      <c r="L12">
        <v>4.0000000000000001E-3</v>
      </c>
      <c r="M12">
        <v>52.732999999999997</v>
      </c>
      <c r="N12">
        <v>0</v>
      </c>
      <c r="O12">
        <v>0.85499999999999998</v>
      </c>
      <c r="P12">
        <v>0</v>
      </c>
      <c r="Q12">
        <v>14.281000000000001</v>
      </c>
      <c r="R12">
        <v>35.299999999999997</v>
      </c>
      <c r="S12">
        <v>8.0299999999999994</v>
      </c>
    </row>
    <row r="13" spans="1:21" x14ac:dyDescent="0.3">
      <c r="A13" t="s">
        <v>677</v>
      </c>
      <c r="B13">
        <v>165.23</v>
      </c>
      <c r="C13">
        <v>69.480999999999995</v>
      </c>
      <c r="D13">
        <v>49.383000000000003</v>
      </c>
      <c r="E13">
        <v>0.33100000000000002</v>
      </c>
      <c r="F13">
        <v>79.873000000000005</v>
      </c>
      <c r="G13">
        <v>7.8460000000000001</v>
      </c>
      <c r="H13">
        <v>53.999000000000002</v>
      </c>
      <c r="I13">
        <v>67.474000000000004</v>
      </c>
      <c r="J13">
        <v>1E-3</v>
      </c>
      <c r="K13">
        <v>229.76400000000001</v>
      </c>
      <c r="L13">
        <v>7.0000000000000001E-3</v>
      </c>
      <c r="M13">
        <v>52.734999999999999</v>
      </c>
      <c r="N13">
        <v>0</v>
      </c>
      <c r="O13">
        <v>0.85099999999999998</v>
      </c>
      <c r="P13">
        <v>0</v>
      </c>
      <c r="Q13">
        <v>14.326000000000001</v>
      </c>
      <c r="R13">
        <v>35.299999999999997</v>
      </c>
      <c r="S13">
        <v>8.0299999999999994</v>
      </c>
    </row>
    <row r="14" spans="1:21" x14ac:dyDescent="0.3">
      <c r="A14" t="s">
        <v>678</v>
      </c>
      <c r="B14">
        <v>164.95500000000001</v>
      </c>
      <c r="C14">
        <v>69.432000000000002</v>
      </c>
      <c r="D14">
        <v>49.261000000000003</v>
      </c>
      <c r="E14">
        <v>0.33</v>
      </c>
      <c r="F14">
        <v>80.066000000000003</v>
      </c>
      <c r="G14">
        <v>7.694</v>
      </c>
      <c r="H14">
        <v>54.186</v>
      </c>
      <c r="I14">
        <v>67.802000000000007</v>
      </c>
      <c r="J14">
        <v>2E-3</v>
      </c>
      <c r="K14">
        <v>229.66499999999999</v>
      </c>
      <c r="L14">
        <v>6.0000000000000001E-3</v>
      </c>
      <c r="M14">
        <v>52.747</v>
      </c>
      <c r="N14">
        <v>0</v>
      </c>
      <c r="O14">
        <v>0.84</v>
      </c>
      <c r="P14">
        <v>0</v>
      </c>
      <c r="Q14">
        <v>14.382999999999999</v>
      </c>
      <c r="R14">
        <v>35.299999999999997</v>
      </c>
      <c r="S14">
        <v>8.0299999999999994</v>
      </c>
    </row>
    <row r="15" spans="1:21" x14ac:dyDescent="0.3">
      <c r="A15" t="s">
        <v>679</v>
      </c>
      <c r="B15">
        <v>164.87100000000001</v>
      </c>
      <c r="C15">
        <v>69.426000000000002</v>
      </c>
      <c r="D15">
        <v>49.258000000000003</v>
      </c>
      <c r="E15">
        <v>0.314</v>
      </c>
      <c r="F15">
        <v>79.596999999999994</v>
      </c>
      <c r="G15">
        <v>7.8710000000000004</v>
      </c>
      <c r="H15">
        <v>54.258000000000003</v>
      </c>
      <c r="I15">
        <v>67.646000000000001</v>
      </c>
      <c r="J15">
        <v>3.0000000000000001E-3</v>
      </c>
      <c r="K15">
        <v>229.435</v>
      </c>
      <c r="L15">
        <v>0</v>
      </c>
      <c r="M15">
        <v>52.750999999999998</v>
      </c>
      <c r="N15">
        <v>0</v>
      </c>
      <c r="O15">
        <v>0.84</v>
      </c>
      <c r="P15">
        <v>0</v>
      </c>
      <c r="Q15">
        <v>14.419</v>
      </c>
      <c r="R15">
        <v>35.200000000000003</v>
      </c>
      <c r="S15">
        <v>8.0299999999999994</v>
      </c>
    </row>
    <row r="16" spans="1:21" x14ac:dyDescent="0.3">
      <c r="A16" t="s">
        <v>680</v>
      </c>
      <c r="B16">
        <v>164.49299999999999</v>
      </c>
      <c r="C16">
        <v>69.388999999999996</v>
      </c>
      <c r="D16">
        <v>49.290999999999997</v>
      </c>
      <c r="E16">
        <v>0.312</v>
      </c>
      <c r="F16">
        <v>78.762</v>
      </c>
      <c r="G16">
        <v>7.5640000000000001</v>
      </c>
      <c r="H16">
        <v>54.545999999999999</v>
      </c>
      <c r="I16">
        <v>67.534999999999997</v>
      </c>
      <c r="J16">
        <v>2E-3</v>
      </c>
      <c r="K16">
        <v>229.797</v>
      </c>
      <c r="L16">
        <v>0</v>
      </c>
      <c r="M16">
        <v>52.720999999999997</v>
      </c>
      <c r="N16">
        <v>0</v>
      </c>
      <c r="O16">
        <v>0.84199999999999997</v>
      </c>
      <c r="P16">
        <v>0</v>
      </c>
      <c r="Q16">
        <v>14.443</v>
      </c>
      <c r="R16">
        <v>35.200000000000003</v>
      </c>
      <c r="S16">
        <v>8.0299999999999994</v>
      </c>
    </row>
    <row r="17" spans="1:19" x14ac:dyDescent="0.3">
      <c r="A17" t="s">
        <v>681</v>
      </c>
      <c r="B17">
        <v>164.43</v>
      </c>
      <c r="C17">
        <v>69.429000000000002</v>
      </c>
      <c r="D17">
        <v>49.113</v>
      </c>
      <c r="E17">
        <v>0.32900000000000001</v>
      </c>
      <c r="F17">
        <v>77.992999999999995</v>
      </c>
      <c r="G17">
        <v>7.5620000000000003</v>
      </c>
      <c r="H17">
        <v>54.088000000000001</v>
      </c>
      <c r="I17">
        <v>67.876000000000005</v>
      </c>
      <c r="J17">
        <v>0</v>
      </c>
      <c r="K17">
        <v>229.74700000000001</v>
      </c>
      <c r="L17">
        <v>4.0000000000000001E-3</v>
      </c>
      <c r="M17">
        <v>52.707000000000001</v>
      </c>
      <c r="N17">
        <v>0</v>
      </c>
      <c r="O17">
        <v>0.89700000000000002</v>
      </c>
      <c r="P17">
        <v>0</v>
      </c>
      <c r="Q17">
        <v>14.476000000000001</v>
      </c>
      <c r="R17">
        <v>35.200000000000003</v>
      </c>
      <c r="S17">
        <v>8.0299999999999994</v>
      </c>
    </row>
    <row r="18" spans="1:19" x14ac:dyDescent="0.3">
      <c r="A18" t="s">
        <v>682</v>
      </c>
      <c r="B18">
        <v>164.23</v>
      </c>
      <c r="C18">
        <v>69.385999999999996</v>
      </c>
      <c r="D18">
        <v>48.969000000000001</v>
      </c>
      <c r="E18">
        <v>0.33700000000000002</v>
      </c>
      <c r="F18">
        <v>80.322999999999993</v>
      </c>
      <c r="G18">
        <v>7.6360000000000001</v>
      </c>
      <c r="H18">
        <v>54.356999999999999</v>
      </c>
      <c r="I18">
        <v>67.650000000000006</v>
      </c>
      <c r="J18">
        <v>2E-3</v>
      </c>
      <c r="K18">
        <v>229.797</v>
      </c>
      <c r="L18">
        <v>5.0000000000000001E-3</v>
      </c>
      <c r="M18">
        <v>52.713000000000001</v>
      </c>
      <c r="N18">
        <v>0</v>
      </c>
      <c r="O18">
        <v>0.871</v>
      </c>
      <c r="P18">
        <v>0</v>
      </c>
      <c r="Q18">
        <v>14.504</v>
      </c>
      <c r="R18">
        <v>35.200000000000003</v>
      </c>
      <c r="S18">
        <v>8.0299999999999994</v>
      </c>
    </row>
    <row r="19" spans="1:19" x14ac:dyDescent="0.3">
      <c r="A19" t="s">
        <v>683</v>
      </c>
      <c r="B19">
        <v>164.41200000000001</v>
      </c>
      <c r="C19">
        <v>69.435000000000002</v>
      </c>
      <c r="D19">
        <v>48.728999999999999</v>
      </c>
      <c r="E19">
        <v>0.33400000000000002</v>
      </c>
      <c r="F19">
        <v>78.887</v>
      </c>
      <c r="G19">
        <v>6.734</v>
      </c>
      <c r="H19">
        <v>54.232999999999997</v>
      </c>
      <c r="I19">
        <v>67.600999999999999</v>
      </c>
      <c r="J19">
        <v>0</v>
      </c>
      <c r="K19">
        <v>229.583</v>
      </c>
      <c r="L19">
        <v>6.0000000000000001E-3</v>
      </c>
      <c r="M19">
        <v>52.67</v>
      </c>
      <c r="N19">
        <v>0</v>
      </c>
      <c r="O19">
        <v>0.86399999999999999</v>
      </c>
      <c r="P19">
        <v>0</v>
      </c>
      <c r="Q19">
        <v>14.553000000000001</v>
      </c>
      <c r="R19">
        <v>35.1</v>
      </c>
      <c r="S19">
        <v>8.0299999999999994</v>
      </c>
    </row>
    <row r="20" spans="1:19" x14ac:dyDescent="0.3">
      <c r="A20" t="s">
        <v>684</v>
      </c>
      <c r="B20">
        <v>164.01</v>
      </c>
      <c r="C20">
        <v>69.403000000000006</v>
      </c>
      <c r="D20">
        <v>48.491999999999997</v>
      </c>
      <c r="E20">
        <v>0.34100000000000003</v>
      </c>
      <c r="F20">
        <v>77.989999999999995</v>
      </c>
      <c r="G20">
        <v>6.9909999999999997</v>
      </c>
      <c r="H20">
        <v>54.337000000000003</v>
      </c>
      <c r="I20">
        <v>67.978999999999999</v>
      </c>
      <c r="J20">
        <v>0.13100000000000001</v>
      </c>
      <c r="K20">
        <v>229.73099999999999</v>
      </c>
      <c r="L20">
        <v>0.70099999999999996</v>
      </c>
      <c r="M20">
        <v>52.604999999999997</v>
      </c>
      <c r="N20">
        <v>0.61699999999999999</v>
      </c>
      <c r="O20">
        <v>0.84499999999999997</v>
      </c>
      <c r="P20">
        <v>0</v>
      </c>
      <c r="Q20">
        <v>14.566000000000001</v>
      </c>
      <c r="R20">
        <v>35.1</v>
      </c>
      <c r="S20">
        <v>8.0299999999999994</v>
      </c>
    </row>
    <row r="21" spans="1:19" x14ac:dyDescent="0.3">
      <c r="A21" t="s">
        <v>685</v>
      </c>
      <c r="B21">
        <v>164.012</v>
      </c>
      <c r="C21">
        <v>69.540999999999997</v>
      </c>
      <c r="D21">
        <v>48.235999999999997</v>
      </c>
      <c r="E21">
        <v>0.34399999999999997</v>
      </c>
      <c r="F21">
        <v>80.7</v>
      </c>
      <c r="G21">
        <v>7.2249999999999996</v>
      </c>
      <c r="H21">
        <v>54.375999999999998</v>
      </c>
      <c r="I21">
        <v>67.753</v>
      </c>
      <c r="J21">
        <v>3.0000000000000001E-3</v>
      </c>
      <c r="K21">
        <v>229.63200000000001</v>
      </c>
      <c r="L21">
        <v>5.0000000000000001E-3</v>
      </c>
      <c r="M21">
        <v>52.753</v>
      </c>
      <c r="N21">
        <v>0</v>
      </c>
      <c r="O21">
        <v>0.85299999999999998</v>
      </c>
      <c r="P21">
        <v>0</v>
      </c>
      <c r="Q21">
        <v>14.586</v>
      </c>
      <c r="R21">
        <v>35.1</v>
      </c>
      <c r="S21">
        <v>8.0299999999999994</v>
      </c>
    </row>
    <row r="22" spans="1:19" x14ac:dyDescent="0.3">
      <c r="A22" t="s">
        <v>686</v>
      </c>
      <c r="B22">
        <v>164.39699999999999</v>
      </c>
      <c r="C22">
        <v>69.465000000000003</v>
      </c>
      <c r="D22">
        <v>48.082000000000001</v>
      </c>
      <c r="E22">
        <v>0.309</v>
      </c>
      <c r="F22">
        <v>79.826999999999998</v>
      </c>
      <c r="G22">
        <v>7.3730000000000002</v>
      </c>
      <c r="H22">
        <v>54.387999999999998</v>
      </c>
      <c r="I22">
        <v>68.052999999999997</v>
      </c>
      <c r="J22">
        <v>2E-3</v>
      </c>
      <c r="K22">
        <v>229.82900000000001</v>
      </c>
      <c r="L22">
        <v>5.0000000000000001E-3</v>
      </c>
      <c r="M22">
        <v>52.755000000000003</v>
      </c>
      <c r="N22">
        <v>0</v>
      </c>
      <c r="O22">
        <v>0.84599999999999997</v>
      </c>
      <c r="P22">
        <v>0</v>
      </c>
      <c r="Q22">
        <v>14.64</v>
      </c>
      <c r="R22">
        <v>35.1</v>
      </c>
      <c r="S22">
        <v>8.0299999999999994</v>
      </c>
    </row>
    <row r="23" spans="1:19" x14ac:dyDescent="0.3">
      <c r="A23" t="s">
        <v>687</v>
      </c>
      <c r="B23">
        <v>163.74</v>
      </c>
      <c r="C23">
        <v>69.429000000000002</v>
      </c>
      <c r="D23">
        <v>47.923999999999999</v>
      </c>
      <c r="E23">
        <v>0.32600000000000001</v>
      </c>
      <c r="F23">
        <v>80.224000000000004</v>
      </c>
      <c r="G23">
        <v>7.4649999999999999</v>
      </c>
      <c r="H23">
        <v>54.286999999999999</v>
      </c>
      <c r="I23">
        <v>67.909000000000006</v>
      </c>
      <c r="J23">
        <v>3.0000000000000001E-3</v>
      </c>
      <c r="K23">
        <v>229.583</v>
      </c>
      <c r="L23">
        <v>5.0000000000000001E-3</v>
      </c>
      <c r="M23">
        <v>52.781999999999996</v>
      </c>
      <c r="N23">
        <v>0</v>
      </c>
      <c r="O23">
        <v>0.85599999999999998</v>
      </c>
      <c r="P23">
        <v>0</v>
      </c>
      <c r="Q23">
        <v>14.659000000000001</v>
      </c>
      <c r="R23">
        <v>35.1</v>
      </c>
      <c r="S23">
        <v>8.0299999999999994</v>
      </c>
    </row>
    <row r="24" spans="1:19" x14ac:dyDescent="0.3">
      <c r="A24" t="s">
        <v>688</v>
      </c>
      <c r="B24">
        <v>163.49100000000001</v>
      </c>
      <c r="C24">
        <v>69.477999999999994</v>
      </c>
      <c r="D24">
        <v>47.762999999999998</v>
      </c>
      <c r="E24">
        <v>0.33</v>
      </c>
      <c r="F24">
        <v>79.891999999999996</v>
      </c>
      <c r="G24">
        <v>7.391</v>
      </c>
      <c r="H24">
        <v>54.412999999999997</v>
      </c>
      <c r="I24">
        <v>68.09</v>
      </c>
      <c r="J24">
        <v>2E-3</v>
      </c>
      <c r="K24">
        <v>229.797</v>
      </c>
      <c r="L24">
        <v>4.0000000000000001E-3</v>
      </c>
      <c r="M24">
        <v>52.725000000000001</v>
      </c>
      <c r="N24">
        <v>0</v>
      </c>
      <c r="O24">
        <v>0.85699999999999998</v>
      </c>
      <c r="P24">
        <v>0</v>
      </c>
      <c r="Q24">
        <v>14.654</v>
      </c>
      <c r="R24">
        <v>35</v>
      </c>
      <c r="S24">
        <v>8.0299999999999994</v>
      </c>
    </row>
    <row r="25" spans="1:19" ht="15" thickBot="1" x14ac:dyDescent="0.35">
      <c r="A25" t="s">
        <v>689</v>
      </c>
      <c r="B25">
        <v>163.34899999999999</v>
      </c>
      <c r="C25">
        <v>69.388999999999996</v>
      </c>
      <c r="D25">
        <v>47.618000000000002</v>
      </c>
      <c r="E25">
        <v>0.34</v>
      </c>
      <c r="F25">
        <v>79.421999999999997</v>
      </c>
      <c r="G25">
        <v>7.0869999999999997</v>
      </c>
      <c r="H25">
        <v>54.383000000000003</v>
      </c>
      <c r="I25">
        <v>68.283000000000001</v>
      </c>
      <c r="J25">
        <v>2E-3</v>
      </c>
      <c r="K25">
        <v>229.517</v>
      </c>
      <c r="L25">
        <v>1E-3</v>
      </c>
      <c r="M25">
        <v>52.709000000000003</v>
      </c>
      <c r="N25">
        <v>0</v>
      </c>
      <c r="O25">
        <v>0.86799999999999999</v>
      </c>
      <c r="P25">
        <v>0</v>
      </c>
      <c r="Q25">
        <v>14.685</v>
      </c>
      <c r="R25">
        <v>35</v>
      </c>
      <c r="S25">
        <v>8.0299999999999994</v>
      </c>
    </row>
    <row r="26" spans="1:19" ht="15" thickBot="1" x14ac:dyDescent="0.35">
      <c r="A26" t="s">
        <v>30</v>
      </c>
      <c r="B26" s="1">
        <f t="shared" ref="B26:S26" si="0">AVERAGE(B6:B25)</f>
        <v>164.77780000000001</v>
      </c>
      <c r="C26" s="1">
        <f t="shared" si="0"/>
        <v>69.434600000000003</v>
      </c>
      <c r="D26" s="1">
        <f t="shared" si="0"/>
        <v>49.129450000000006</v>
      </c>
      <c r="E26" s="10">
        <f t="shared" si="0"/>
        <v>0.33290000000000003</v>
      </c>
      <c r="F26" s="1">
        <f t="shared" si="0"/>
        <v>79.637150000000005</v>
      </c>
      <c r="G26" s="1">
        <f t="shared" si="0"/>
        <v>7.7040999999999986</v>
      </c>
      <c r="H26" s="10">
        <f t="shared" si="0"/>
        <v>54.142449999999997</v>
      </c>
      <c r="I26" s="1">
        <f t="shared" si="0"/>
        <v>67.802449999999993</v>
      </c>
      <c r="J26" s="8">
        <f t="shared" si="0"/>
        <v>8.2000000000000024E-3</v>
      </c>
      <c r="K26" s="1">
        <f t="shared" si="0"/>
        <v>229.69389999999993</v>
      </c>
      <c r="L26" s="1">
        <f t="shared" si="0"/>
        <v>5.6599999999999984E-2</v>
      </c>
      <c r="M26" s="1">
        <f t="shared" si="0"/>
        <v>52.746000000000002</v>
      </c>
      <c r="N26" s="1">
        <f t="shared" si="0"/>
        <v>3.0849999999999999E-2</v>
      </c>
      <c r="O26" s="1">
        <f t="shared" si="0"/>
        <v>0.85560000000000014</v>
      </c>
      <c r="P26" s="1">
        <f t="shared" si="0"/>
        <v>0</v>
      </c>
      <c r="Q26" s="1">
        <f t="shared" si="0"/>
        <v>14.3786</v>
      </c>
      <c r="R26" s="1">
        <f t="shared" si="0"/>
        <v>35.255000000000003</v>
      </c>
      <c r="S26" s="1">
        <f t="shared" si="0"/>
        <v>8.0299999999999994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BE09-FD29-4775-9D91-1D9EFC6228D1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0.61605324074074075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1.701645203753601</v>
      </c>
      <c r="M2" s="8">
        <f>100*(R36/(R36+Q36))</f>
        <v>70.045370368612893</v>
      </c>
      <c r="O2" s="9">
        <f>100*((E36*C2)/((E36*C2)+(K2*E2)))</f>
        <v>13.995128159935838</v>
      </c>
      <c r="Q2" s="10">
        <f>100*J36*(1/(((C2/3.6)*E36)+((E2/3.6)*K2)))</f>
        <v>4.7279120519149167E-3</v>
      </c>
      <c r="S2" s="6">
        <v>3.54</v>
      </c>
      <c r="U2" s="10">
        <f>100*((((G36*0.001*60)*(C36-D36)*(S2/3.6)))/(((C2/3.6)*E36)+((E2/3.6)*K2)))</f>
        <v>-32.217838883590616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960</v>
      </c>
      <c r="B6">
        <v>150.459</v>
      </c>
      <c r="C6">
        <v>69.822999999999993</v>
      </c>
      <c r="D6">
        <v>100</v>
      </c>
      <c r="E6">
        <v>0.316</v>
      </c>
      <c r="F6">
        <v>78.531999999999996</v>
      </c>
      <c r="G6">
        <v>5.1429999999999998</v>
      </c>
      <c r="H6">
        <v>55.206000000000003</v>
      </c>
      <c r="I6">
        <v>67.986999999999995</v>
      </c>
      <c r="J6">
        <v>1E-3</v>
      </c>
      <c r="K6">
        <v>229.649</v>
      </c>
      <c r="L6">
        <v>8.0000000000000002E-3</v>
      </c>
      <c r="M6">
        <v>52.890999999999998</v>
      </c>
      <c r="N6">
        <v>0</v>
      </c>
      <c r="O6">
        <v>0.874</v>
      </c>
      <c r="P6">
        <v>0</v>
      </c>
      <c r="Q6">
        <v>14.608000000000001</v>
      </c>
      <c r="R6">
        <v>37.4</v>
      </c>
      <c r="S6">
        <v>6.1</v>
      </c>
    </row>
    <row r="7" spans="1:21" x14ac:dyDescent="0.3">
      <c r="A7" t="s">
        <v>961</v>
      </c>
      <c r="B7">
        <v>150.08500000000001</v>
      </c>
      <c r="C7">
        <v>69.771000000000001</v>
      </c>
      <c r="D7">
        <v>100</v>
      </c>
      <c r="E7">
        <v>0.309</v>
      </c>
      <c r="F7">
        <v>79.031999999999996</v>
      </c>
      <c r="G7">
        <v>5.4420000000000002</v>
      </c>
      <c r="H7">
        <v>55.457999999999998</v>
      </c>
      <c r="I7">
        <v>67.671000000000006</v>
      </c>
      <c r="J7">
        <v>2E-3</v>
      </c>
      <c r="K7">
        <v>229.87899999999999</v>
      </c>
      <c r="L7">
        <v>3.0000000000000001E-3</v>
      </c>
      <c r="M7">
        <v>52.954000000000001</v>
      </c>
      <c r="N7">
        <v>0</v>
      </c>
      <c r="O7">
        <v>0.86699999999999999</v>
      </c>
      <c r="P7">
        <v>0</v>
      </c>
      <c r="Q7">
        <v>14.726000000000001</v>
      </c>
      <c r="R7">
        <v>37.4</v>
      </c>
      <c r="S7">
        <v>6.1</v>
      </c>
    </row>
    <row r="8" spans="1:21" x14ac:dyDescent="0.3">
      <c r="A8" t="s">
        <v>962</v>
      </c>
      <c r="B8">
        <v>150.27000000000001</v>
      </c>
      <c r="C8">
        <v>69.78</v>
      </c>
      <c r="D8">
        <v>100</v>
      </c>
      <c r="E8">
        <v>0.318</v>
      </c>
      <c r="F8">
        <v>79.444999999999993</v>
      </c>
      <c r="G8">
        <v>4.9260000000000002</v>
      </c>
      <c r="H8">
        <v>55.512999999999998</v>
      </c>
      <c r="I8">
        <v>68.048000000000002</v>
      </c>
      <c r="J8">
        <v>1E-3</v>
      </c>
      <c r="K8">
        <v>229.59899999999999</v>
      </c>
      <c r="L8">
        <v>4.0000000000000001E-3</v>
      </c>
      <c r="M8">
        <v>53.027000000000001</v>
      </c>
      <c r="N8">
        <v>0</v>
      </c>
      <c r="O8">
        <v>0.85199999999999998</v>
      </c>
      <c r="P8">
        <v>0</v>
      </c>
      <c r="Q8">
        <v>14.835000000000001</v>
      </c>
      <c r="R8">
        <v>37.4</v>
      </c>
      <c r="S8">
        <v>6.1</v>
      </c>
    </row>
    <row r="9" spans="1:21" x14ac:dyDescent="0.3">
      <c r="A9" t="s">
        <v>963</v>
      </c>
      <c r="B9">
        <v>150.179</v>
      </c>
      <c r="C9">
        <v>69.777000000000001</v>
      </c>
      <c r="D9">
        <v>100</v>
      </c>
      <c r="E9">
        <v>0.307</v>
      </c>
      <c r="F9">
        <v>78.762</v>
      </c>
      <c r="G9">
        <v>4.99</v>
      </c>
      <c r="H9">
        <v>60.529000000000003</v>
      </c>
      <c r="I9">
        <v>66.578000000000003</v>
      </c>
      <c r="J9">
        <v>4.0000000000000001E-3</v>
      </c>
      <c r="K9">
        <v>229.87899999999999</v>
      </c>
      <c r="L9">
        <v>5.0000000000000001E-3</v>
      </c>
      <c r="M9">
        <v>53.003</v>
      </c>
      <c r="N9">
        <v>0</v>
      </c>
      <c r="O9">
        <v>0.86</v>
      </c>
      <c r="P9">
        <v>0</v>
      </c>
      <c r="Q9">
        <v>14.954000000000001</v>
      </c>
      <c r="R9">
        <v>37.4</v>
      </c>
      <c r="S9">
        <v>6.1</v>
      </c>
    </row>
    <row r="10" spans="1:21" x14ac:dyDescent="0.3">
      <c r="A10" t="s">
        <v>964</v>
      </c>
      <c r="B10">
        <v>150.24299999999999</v>
      </c>
      <c r="C10">
        <v>69.777000000000001</v>
      </c>
      <c r="D10">
        <v>100</v>
      </c>
      <c r="E10">
        <v>0.29499999999999998</v>
      </c>
      <c r="F10">
        <v>78.600999999999999</v>
      </c>
      <c r="G10">
        <v>4.9390000000000001</v>
      </c>
      <c r="H10">
        <v>56.018000000000001</v>
      </c>
      <c r="I10">
        <v>68.016000000000005</v>
      </c>
      <c r="J10">
        <v>2E-3</v>
      </c>
      <c r="K10">
        <v>229.59899999999999</v>
      </c>
      <c r="L10">
        <v>5.0000000000000001E-3</v>
      </c>
      <c r="M10">
        <v>53.005000000000003</v>
      </c>
      <c r="N10">
        <v>0</v>
      </c>
      <c r="O10">
        <v>0.85899999999999999</v>
      </c>
      <c r="P10">
        <v>0</v>
      </c>
      <c r="Q10">
        <v>15.097</v>
      </c>
      <c r="R10">
        <v>37.4</v>
      </c>
      <c r="S10">
        <v>6.1</v>
      </c>
    </row>
    <row r="11" spans="1:21" x14ac:dyDescent="0.3">
      <c r="A11" t="s">
        <v>965</v>
      </c>
      <c r="B11">
        <v>150.303</v>
      </c>
      <c r="C11">
        <v>69.751000000000005</v>
      </c>
      <c r="D11">
        <v>100</v>
      </c>
      <c r="E11">
        <v>0.317</v>
      </c>
      <c r="F11">
        <v>77.736999999999995</v>
      </c>
      <c r="G11">
        <v>4.5860000000000003</v>
      </c>
      <c r="H11">
        <v>56.183999999999997</v>
      </c>
      <c r="I11">
        <v>68.048000000000002</v>
      </c>
      <c r="J11">
        <v>0</v>
      </c>
      <c r="K11">
        <v>229.82900000000001</v>
      </c>
      <c r="L11">
        <v>3.0000000000000001E-3</v>
      </c>
      <c r="M11">
        <v>52.975999999999999</v>
      </c>
      <c r="N11">
        <v>0</v>
      </c>
      <c r="O11">
        <v>0.86799999999999999</v>
      </c>
      <c r="P11">
        <v>0</v>
      </c>
      <c r="Q11">
        <v>15.255000000000001</v>
      </c>
      <c r="R11">
        <v>37.299999999999997</v>
      </c>
      <c r="S11">
        <v>6.1</v>
      </c>
    </row>
    <row r="12" spans="1:21" x14ac:dyDescent="0.3">
      <c r="A12" t="s">
        <v>966</v>
      </c>
      <c r="B12">
        <v>150.21199999999999</v>
      </c>
      <c r="C12">
        <v>69.744</v>
      </c>
      <c r="D12">
        <v>100</v>
      </c>
      <c r="E12">
        <v>0.308</v>
      </c>
      <c r="F12">
        <v>78.233000000000004</v>
      </c>
      <c r="G12">
        <v>5.3760000000000003</v>
      </c>
      <c r="H12">
        <v>56.337000000000003</v>
      </c>
      <c r="I12">
        <v>68.361000000000004</v>
      </c>
      <c r="J12">
        <v>1E-3</v>
      </c>
      <c r="K12">
        <v>229.68199999999999</v>
      </c>
      <c r="L12">
        <v>2E-3</v>
      </c>
      <c r="M12">
        <v>52.96</v>
      </c>
      <c r="N12">
        <v>0</v>
      </c>
      <c r="O12">
        <v>0.86899999999999999</v>
      </c>
      <c r="P12">
        <v>0</v>
      </c>
      <c r="Q12">
        <v>15.53</v>
      </c>
      <c r="R12">
        <v>37.200000000000003</v>
      </c>
      <c r="S12">
        <v>6.1</v>
      </c>
    </row>
    <row r="13" spans="1:21" x14ac:dyDescent="0.3">
      <c r="A13" t="s">
        <v>967</v>
      </c>
      <c r="B13">
        <v>150.19300000000001</v>
      </c>
      <c r="C13">
        <v>69.766999999999996</v>
      </c>
      <c r="D13">
        <v>100</v>
      </c>
      <c r="E13">
        <v>0.32100000000000001</v>
      </c>
      <c r="F13">
        <v>78.519000000000005</v>
      </c>
      <c r="G13">
        <v>4.8289999999999997</v>
      </c>
      <c r="H13">
        <v>56.612000000000002</v>
      </c>
      <c r="I13">
        <v>68.488</v>
      </c>
      <c r="J13">
        <v>3.0000000000000001E-3</v>
      </c>
      <c r="K13">
        <v>229.846</v>
      </c>
      <c r="L13">
        <v>1E-3</v>
      </c>
      <c r="M13">
        <v>53.048000000000002</v>
      </c>
      <c r="N13">
        <v>0</v>
      </c>
      <c r="O13">
        <v>0.871</v>
      </c>
      <c r="P13">
        <v>0</v>
      </c>
      <c r="Q13">
        <v>15.744</v>
      </c>
      <c r="R13">
        <v>37.1</v>
      </c>
      <c r="S13">
        <v>6.1</v>
      </c>
    </row>
    <row r="14" spans="1:21" x14ac:dyDescent="0.3">
      <c r="A14" t="s">
        <v>968</v>
      </c>
      <c r="B14">
        <v>150.31899999999999</v>
      </c>
      <c r="C14">
        <v>69.807000000000002</v>
      </c>
      <c r="D14">
        <v>100</v>
      </c>
      <c r="E14">
        <v>0.3</v>
      </c>
      <c r="F14">
        <v>78.427000000000007</v>
      </c>
      <c r="G14">
        <v>5.1719999999999997</v>
      </c>
      <c r="H14">
        <v>56.73</v>
      </c>
      <c r="I14">
        <v>68.64</v>
      </c>
      <c r="J14">
        <v>0</v>
      </c>
      <c r="K14">
        <v>229.517</v>
      </c>
      <c r="L14">
        <v>0</v>
      </c>
      <c r="M14">
        <v>52.945999999999998</v>
      </c>
      <c r="N14">
        <v>0</v>
      </c>
      <c r="O14">
        <v>0.88300000000000001</v>
      </c>
      <c r="P14">
        <v>0</v>
      </c>
      <c r="Q14">
        <v>15.898</v>
      </c>
      <c r="R14">
        <v>37</v>
      </c>
      <c r="S14">
        <v>6.1</v>
      </c>
    </row>
    <row r="15" spans="1:21" x14ac:dyDescent="0.3">
      <c r="A15" t="s">
        <v>969</v>
      </c>
      <c r="B15">
        <v>149.99299999999999</v>
      </c>
      <c r="C15">
        <v>69.748000000000005</v>
      </c>
      <c r="D15">
        <v>100</v>
      </c>
      <c r="E15">
        <v>0.317</v>
      </c>
      <c r="F15">
        <v>78.167000000000002</v>
      </c>
      <c r="G15">
        <v>5.016</v>
      </c>
      <c r="H15">
        <v>56.904000000000003</v>
      </c>
      <c r="I15">
        <v>68.66</v>
      </c>
      <c r="J15">
        <v>0</v>
      </c>
      <c r="K15">
        <v>229.81299999999999</v>
      </c>
      <c r="L15">
        <v>1E-3</v>
      </c>
      <c r="M15">
        <v>52.97</v>
      </c>
      <c r="N15">
        <v>0</v>
      </c>
      <c r="O15">
        <v>0.86499999999999999</v>
      </c>
      <c r="P15">
        <v>0</v>
      </c>
      <c r="Q15">
        <v>15.976000000000001</v>
      </c>
      <c r="R15">
        <v>37</v>
      </c>
      <c r="S15">
        <v>6.1</v>
      </c>
    </row>
    <row r="16" spans="1:21" x14ac:dyDescent="0.3">
      <c r="A16" t="s">
        <v>970</v>
      </c>
      <c r="B16">
        <v>149.99299999999999</v>
      </c>
      <c r="C16">
        <v>69.733999999999995</v>
      </c>
      <c r="D16">
        <v>100</v>
      </c>
      <c r="E16">
        <v>0.315</v>
      </c>
      <c r="F16">
        <v>79.616</v>
      </c>
      <c r="G16">
        <v>4.8239999999999998</v>
      </c>
      <c r="H16">
        <v>56.765000000000001</v>
      </c>
      <c r="I16">
        <v>68.709999999999994</v>
      </c>
      <c r="J16">
        <v>2E-3</v>
      </c>
      <c r="K16">
        <v>229.501</v>
      </c>
      <c r="L16">
        <v>1E-3</v>
      </c>
      <c r="M16">
        <v>52.97</v>
      </c>
      <c r="N16">
        <v>0</v>
      </c>
      <c r="O16">
        <v>0.85699999999999998</v>
      </c>
      <c r="P16">
        <v>0</v>
      </c>
      <c r="Q16">
        <v>16.035</v>
      </c>
      <c r="R16">
        <v>37</v>
      </c>
      <c r="S16">
        <v>6.1</v>
      </c>
    </row>
    <row r="17" spans="1:19" x14ac:dyDescent="0.3">
      <c r="A17" t="s">
        <v>971</v>
      </c>
      <c r="B17">
        <v>150.03</v>
      </c>
      <c r="C17">
        <v>69.748000000000005</v>
      </c>
      <c r="D17">
        <v>100</v>
      </c>
      <c r="E17">
        <v>0.309</v>
      </c>
      <c r="F17">
        <v>78.680000000000007</v>
      </c>
      <c r="G17">
        <v>4.7370000000000001</v>
      </c>
      <c r="H17">
        <v>56.701999999999998</v>
      </c>
      <c r="I17">
        <v>68.397999999999996</v>
      </c>
      <c r="J17">
        <v>1E-3</v>
      </c>
      <c r="K17">
        <v>229.928</v>
      </c>
      <c r="L17">
        <v>1E-3</v>
      </c>
      <c r="M17">
        <v>52.914000000000001</v>
      </c>
      <c r="N17">
        <v>0</v>
      </c>
      <c r="O17">
        <v>0.86199999999999999</v>
      </c>
      <c r="P17">
        <v>0</v>
      </c>
      <c r="Q17">
        <v>16.052</v>
      </c>
      <c r="R17">
        <v>36.9</v>
      </c>
      <c r="S17">
        <v>6.1</v>
      </c>
    </row>
    <row r="18" spans="1:19" x14ac:dyDescent="0.3">
      <c r="A18" t="s">
        <v>972</v>
      </c>
      <c r="B18">
        <v>149.94</v>
      </c>
      <c r="C18">
        <v>69.748000000000005</v>
      </c>
      <c r="D18">
        <v>100</v>
      </c>
      <c r="E18">
        <v>0.317</v>
      </c>
      <c r="F18">
        <v>79.58</v>
      </c>
      <c r="G18">
        <v>5.2380000000000004</v>
      </c>
      <c r="H18">
        <v>56.744</v>
      </c>
      <c r="I18">
        <v>68.438999999999993</v>
      </c>
      <c r="J18">
        <v>2E-3</v>
      </c>
      <c r="K18">
        <v>229.76400000000001</v>
      </c>
      <c r="L18">
        <v>2E-3</v>
      </c>
      <c r="M18">
        <v>52.908000000000001</v>
      </c>
      <c r="N18">
        <v>0</v>
      </c>
      <c r="O18">
        <v>0.85099999999999998</v>
      </c>
      <c r="P18">
        <v>0</v>
      </c>
      <c r="Q18">
        <v>16.073</v>
      </c>
      <c r="R18">
        <v>36.799999999999997</v>
      </c>
      <c r="S18">
        <v>6.1</v>
      </c>
    </row>
    <row r="19" spans="1:19" x14ac:dyDescent="0.3">
      <c r="A19" t="s">
        <v>973</v>
      </c>
      <c r="B19">
        <v>149.84100000000001</v>
      </c>
      <c r="C19">
        <v>69.757000000000005</v>
      </c>
      <c r="D19">
        <v>100</v>
      </c>
      <c r="E19">
        <v>0.311</v>
      </c>
      <c r="F19">
        <v>79.988</v>
      </c>
      <c r="G19">
        <v>4.9039999999999999</v>
      </c>
      <c r="H19">
        <v>56.759</v>
      </c>
      <c r="I19">
        <v>68.923000000000002</v>
      </c>
      <c r="J19">
        <v>2E-3</v>
      </c>
      <c r="K19">
        <v>229.73099999999999</v>
      </c>
      <c r="L19">
        <v>2E-3</v>
      </c>
      <c r="M19">
        <v>52.890999999999998</v>
      </c>
      <c r="N19">
        <v>0</v>
      </c>
      <c r="O19">
        <v>0.86899999999999999</v>
      </c>
      <c r="P19">
        <v>0</v>
      </c>
      <c r="Q19">
        <v>16.097999999999999</v>
      </c>
      <c r="R19">
        <v>36.799999999999997</v>
      </c>
      <c r="S19">
        <v>6.1</v>
      </c>
    </row>
    <row r="20" spans="1:19" x14ac:dyDescent="0.3">
      <c r="A20" t="s">
        <v>974</v>
      </c>
      <c r="B20">
        <v>149.73599999999999</v>
      </c>
      <c r="C20">
        <v>69.807000000000002</v>
      </c>
      <c r="D20">
        <v>100</v>
      </c>
      <c r="E20">
        <v>0.317</v>
      </c>
      <c r="F20">
        <v>77.744</v>
      </c>
      <c r="G20">
        <v>5.1180000000000003</v>
      </c>
      <c r="H20">
        <v>56.982999999999997</v>
      </c>
      <c r="I20">
        <v>68.930999999999997</v>
      </c>
      <c r="J20">
        <v>2E-3</v>
      </c>
      <c r="K20">
        <v>229.501</v>
      </c>
      <c r="L20">
        <v>2E-3</v>
      </c>
      <c r="M20">
        <v>52.954000000000001</v>
      </c>
      <c r="N20">
        <v>0</v>
      </c>
      <c r="O20">
        <v>0.86699999999999999</v>
      </c>
      <c r="P20">
        <v>0</v>
      </c>
      <c r="Q20">
        <v>16.087</v>
      </c>
      <c r="R20">
        <v>36.700000000000003</v>
      </c>
      <c r="S20">
        <v>6.1</v>
      </c>
    </row>
    <row r="21" spans="1:19" x14ac:dyDescent="0.3">
      <c r="A21" t="s">
        <v>975</v>
      </c>
      <c r="B21">
        <v>149.572</v>
      </c>
      <c r="C21">
        <v>69.83</v>
      </c>
      <c r="D21">
        <v>100</v>
      </c>
      <c r="E21">
        <v>0.32800000000000001</v>
      </c>
      <c r="F21">
        <v>79.373000000000005</v>
      </c>
      <c r="G21">
        <v>4.7389999999999999</v>
      </c>
      <c r="H21">
        <v>56.877000000000002</v>
      </c>
      <c r="I21">
        <v>69.03</v>
      </c>
      <c r="J21">
        <v>1E-3</v>
      </c>
      <c r="K21">
        <v>229.68199999999999</v>
      </c>
      <c r="L21">
        <v>4.0000000000000001E-3</v>
      </c>
      <c r="M21">
        <v>52.956000000000003</v>
      </c>
      <c r="N21">
        <v>0</v>
      </c>
      <c r="O21">
        <v>0.87</v>
      </c>
      <c r="P21">
        <v>0</v>
      </c>
      <c r="Q21">
        <v>16.094000000000001</v>
      </c>
      <c r="R21">
        <v>36.700000000000003</v>
      </c>
      <c r="S21">
        <v>6.1</v>
      </c>
    </row>
    <row r="22" spans="1:19" x14ac:dyDescent="0.3">
      <c r="A22" t="s">
        <v>976</v>
      </c>
      <c r="B22">
        <v>149.75899999999999</v>
      </c>
      <c r="C22">
        <v>69.879000000000005</v>
      </c>
      <c r="D22">
        <v>100</v>
      </c>
      <c r="E22">
        <v>0.34100000000000003</v>
      </c>
      <c r="F22">
        <v>79.715000000000003</v>
      </c>
      <c r="G22">
        <v>5.0179999999999998</v>
      </c>
      <c r="H22">
        <v>56.927999999999997</v>
      </c>
      <c r="I22">
        <v>69.153000000000006</v>
      </c>
      <c r="J22">
        <v>2E-3</v>
      </c>
      <c r="K22">
        <v>229.517</v>
      </c>
      <c r="L22">
        <v>1E-3</v>
      </c>
      <c r="M22">
        <v>52.853000000000002</v>
      </c>
      <c r="N22">
        <v>0</v>
      </c>
      <c r="O22">
        <v>0.877</v>
      </c>
      <c r="P22">
        <v>0</v>
      </c>
      <c r="Q22">
        <v>16.088000000000001</v>
      </c>
      <c r="R22">
        <v>36.700000000000003</v>
      </c>
      <c r="S22">
        <v>6.1</v>
      </c>
    </row>
    <row r="23" spans="1:19" x14ac:dyDescent="0.3">
      <c r="A23" t="s">
        <v>977</v>
      </c>
      <c r="B23">
        <v>149.71899999999999</v>
      </c>
      <c r="C23">
        <v>69.825999999999993</v>
      </c>
      <c r="D23">
        <v>100</v>
      </c>
      <c r="E23">
        <v>0.34200000000000003</v>
      </c>
      <c r="F23">
        <v>79.569999999999993</v>
      </c>
      <c r="G23">
        <v>5.226</v>
      </c>
      <c r="H23">
        <v>56.85</v>
      </c>
      <c r="I23">
        <v>68.861999999999995</v>
      </c>
      <c r="J23">
        <v>1E-3</v>
      </c>
      <c r="K23">
        <v>229.94399999999999</v>
      </c>
      <c r="L23">
        <v>1E-3</v>
      </c>
      <c r="M23">
        <v>52.945999999999998</v>
      </c>
      <c r="N23">
        <v>0</v>
      </c>
      <c r="O23">
        <v>0.86899999999999999</v>
      </c>
      <c r="P23">
        <v>0</v>
      </c>
      <c r="Q23">
        <v>16.071000000000002</v>
      </c>
      <c r="R23">
        <v>36.700000000000003</v>
      </c>
      <c r="S23">
        <v>6.1</v>
      </c>
    </row>
    <row r="24" spans="1:19" x14ac:dyDescent="0.3">
      <c r="A24" t="s">
        <v>978</v>
      </c>
      <c r="B24">
        <v>149.47999999999999</v>
      </c>
      <c r="C24">
        <v>69.733999999999995</v>
      </c>
      <c r="D24">
        <v>100</v>
      </c>
      <c r="E24">
        <v>0.33200000000000002</v>
      </c>
      <c r="F24">
        <v>78.388000000000005</v>
      </c>
      <c r="G24">
        <v>4.9589999999999996</v>
      </c>
      <c r="H24">
        <v>56.859000000000002</v>
      </c>
      <c r="I24">
        <v>68.951999999999998</v>
      </c>
      <c r="J24">
        <v>1E-3</v>
      </c>
      <c r="K24">
        <v>229.797</v>
      </c>
      <c r="L24">
        <v>3.0000000000000001E-3</v>
      </c>
      <c r="M24">
        <v>52.906999999999996</v>
      </c>
      <c r="N24">
        <v>0</v>
      </c>
      <c r="O24">
        <v>0.871</v>
      </c>
      <c r="P24">
        <v>0</v>
      </c>
      <c r="Q24">
        <v>16.074000000000002</v>
      </c>
      <c r="R24">
        <v>36.700000000000003</v>
      </c>
      <c r="S24">
        <v>6.1</v>
      </c>
    </row>
    <row r="25" spans="1:19" x14ac:dyDescent="0.3">
      <c r="A25" t="s">
        <v>979</v>
      </c>
      <c r="B25">
        <v>149.577</v>
      </c>
      <c r="C25">
        <v>69.744</v>
      </c>
      <c r="D25">
        <v>100</v>
      </c>
      <c r="E25">
        <v>0.32500000000000001</v>
      </c>
      <c r="F25">
        <v>78.094999999999999</v>
      </c>
      <c r="G25">
        <v>5.0330000000000004</v>
      </c>
      <c r="H25">
        <v>56.86</v>
      </c>
      <c r="I25">
        <v>68.997</v>
      </c>
      <c r="J25">
        <v>1E-3</v>
      </c>
      <c r="K25">
        <v>229.86199999999999</v>
      </c>
      <c r="L25">
        <v>0</v>
      </c>
      <c r="M25">
        <v>52.828000000000003</v>
      </c>
      <c r="N25">
        <v>0</v>
      </c>
      <c r="O25">
        <v>0.879</v>
      </c>
      <c r="P25">
        <v>0</v>
      </c>
      <c r="Q25">
        <v>16.062000000000001</v>
      </c>
      <c r="R25">
        <v>36.700000000000003</v>
      </c>
      <c r="S25">
        <v>6.1</v>
      </c>
    </row>
    <row r="26" spans="1:19" x14ac:dyDescent="0.3">
      <c r="A26" t="s">
        <v>980</v>
      </c>
      <c r="B26">
        <v>149.631</v>
      </c>
      <c r="C26">
        <v>69.748000000000005</v>
      </c>
      <c r="D26">
        <v>100</v>
      </c>
      <c r="E26">
        <v>0.32200000000000001</v>
      </c>
      <c r="F26">
        <v>79.153000000000006</v>
      </c>
      <c r="G26">
        <v>5.2149999999999999</v>
      </c>
      <c r="H26">
        <v>56.639000000000003</v>
      </c>
      <c r="I26">
        <v>69.153000000000006</v>
      </c>
      <c r="J26">
        <v>1E-3</v>
      </c>
      <c r="K26">
        <v>229.48500000000001</v>
      </c>
      <c r="L26">
        <v>0</v>
      </c>
      <c r="M26">
        <v>52.850999999999999</v>
      </c>
      <c r="N26">
        <v>0</v>
      </c>
      <c r="O26">
        <v>0.86699999999999999</v>
      </c>
      <c r="P26">
        <v>0</v>
      </c>
      <c r="Q26">
        <v>16.05</v>
      </c>
      <c r="R26">
        <v>36.700000000000003</v>
      </c>
      <c r="S26">
        <v>6.1</v>
      </c>
    </row>
    <row r="27" spans="1:19" x14ac:dyDescent="0.3">
      <c r="A27" t="s">
        <v>981</v>
      </c>
      <c r="B27">
        <v>149.328</v>
      </c>
      <c r="C27">
        <v>69.744</v>
      </c>
      <c r="D27">
        <v>100</v>
      </c>
      <c r="E27">
        <v>0.32900000000000001</v>
      </c>
      <c r="F27">
        <v>78.923000000000002</v>
      </c>
      <c r="G27">
        <v>4.5529999999999999</v>
      </c>
      <c r="H27">
        <v>56.802999999999997</v>
      </c>
      <c r="I27">
        <v>69.091999999999999</v>
      </c>
      <c r="J27">
        <v>2E-3</v>
      </c>
      <c r="K27">
        <v>229.91200000000001</v>
      </c>
      <c r="L27">
        <v>0</v>
      </c>
      <c r="M27">
        <v>52.847000000000001</v>
      </c>
      <c r="N27">
        <v>0</v>
      </c>
      <c r="O27">
        <v>0.86099999999999999</v>
      </c>
      <c r="P27">
        <v>0</v>
      </c>
      <c r="Q27">
        <v>16.048999999999999</v>
      </c>
      <c r="R27">
        <v>36.700000000000003</v>
      </c>
      <c r="S27">
        <v>6.1</v>
      </c>
    </row>
    <row r="28" spans="1:19" x14ac:dyDescent="0.3">
      <c r="A28" t="s">
        <v>982</v>
      </c>
      <c r="B28">
        <v>149.101</v>
      </c>
      <c r="C28">
        <v>69.741</v>
      </c>
      <c r="D28">
        <v>100</v>
      </c>
      <c r="E28">
        <v>0.34</v>
      </c>
      <c r="F28">
        <v>79.132999999999996</v>
      </c>
      <c r="G28">
        <v>4.9950000000000001</v>
      </c>
      <c r="H28">
        <v>56.737000000000002</v>
      </c>
      <c r="I28">
        <v>69.078999999999994</v>
      </c>
      <c r="J28">
        <v>1E-3</v>
      </c>
      <c r="K28">
        <v>229.435</v>
      </c>
      <c r="L28">
        <v>0</v>
      </c>
      <c r="M28">
        <v>52.859000000000002</v>
      </c>
      <c r="N28">
        <v>0</v>
      </c>
      <c r="O28">
        <v>0.84899999999999998</v>
      </c>
      <c r="P28">
        <v>0</v>
      </c>
      <c r="Q28">
        <v>16.021999999999998</v>
      </c>
      <c r="R28">
        <v>36.700000000000003</v>
      </c>
      <c r="S28">
        <v>6.1</v>
      </c>
    </row>
    <row r="29" spans="1:19" x14ac:dyDescent="0.3">
      <c r="A29" t="s">
        <v>983</v>
      </c>
      <c r="B29">
        <v>149.21799999999999</v>
      </c>
      <c r="C29">
        <v>69.741</v>
      </c>
      <c r="D29">
        <v>100</v>
      </c>
      <c r="E29">
        <v>0.36199999999999999</v>
      </c>
      <c r="F29">
        <v>79.376000000000005</v>
      </c>
      <c r="G29">
        <v>4.609</v>
      </c>
      <c r="H29">
        <v>56.814999999999998</v>
      </c>
      <c r="I29">
        <v>69.33</v>
      </c>
      <c r="J29">
        <v>0</v>
      </c>
      <c r="K29">
        <v>229.714</v>
      </c>
      <c r="L29">
        <v>0</v>
      </c>
      <c r="M29">
        <v>52.883000000000003</v>
      </c>
      <c r="N29">
        <v>0</v>
      </c>
      <c r="O29">
        <v>0.85</v>
      </c>
      <c r="P29">
        <v>0</v>
      </c>
      <c r="Q29">
        <v>16.03</v>
      </c>
      <c r="R29">
        <v>36.6</v>
      </c>
      <c r="S29">
        <v>6.1</v>
      </c>
    </row>
    <row r="30" spans="1:19" x14ac:dyDescent="0.3">
      <c r="A30" t="s">
        <v>984</v>
      </c>
      <c r="B30">
        <v>149.34800000000001</v>
      </c>
      <c r="C30">
        <v>69.741</v>
      </c>
      <c r="D30">
        <v>100</v>
      </c>
      <c r="E30">
        <v>0.35099999999999998</v>
      </c>
      <c r="F30">
        <v>78.69</v>
      </c>
      <c r="G30">
        <v>4.5919999999999996</v>
      </c>
      <c r="H30">
        <v>56.539000000000001</v>
      </c>
      <c r="I30">
        <v>69.132999999999996</v>
      </c>
      <c r="J30">
        <v>3.0000000000000001E-3</v>
      </c>
      <c r="K30">
        <v>229.55</v>
      </c>
      <c r="L30">
        <v>0</v>
      </c>
      <c r="M30">
        <v>52.805999999999997</v>
      </c>
      <c r="N30">
        <v>0</v>
      </c>
      <c r="O30">
        <v>0.86099999999999999</v>
      </c>
      <c r="P30">
        <v>0</v>
      </c>
      <c r="Q30">
        <v>16.007000000000001</v>
      </c>
      <c r="R30">
        <v>36.700000000000003</v>
      </c>
      <c r="S30">
        <v>6.1</v>
      </c>
    </row>
    <row r="31" spans="1:19" x14ac:dyDescent="0.3">
      <c r="A31" t="s">
        <v>985</v>
      </c>
      <c r="B31">
        <v>149.459</v>
      </c>
      <c r="C31">
        <v>69.741</v>
      </c>
      <c r="D31">
        <v>100</v>
      </c>
      <c r="E31">
        <v>0.35299999999999998</v>
      </c>
      <c r="F31">
        <v>80.144999999999996</v>
      </c>
      <c r="G31">
        <v>5.12</v>
      </c>
      <c r="H31">
        <v>56.704999999999998</v>
      </c>
      <c r="I31">
        <v>69.165000000000006</v>
      </c>
      <c r="J31">
        <v>1E-3</v>
      </c>
      <c r="K31">
        <v>229.452</v>
      </c>
      <c r="L31">
        <v>0</v>
      </c>
      <c r="M31">
        <v>52.828000000000003</v>
      </c>
      <c r="N31">
        <v>3.0000000000000001E-3</v>
      </c>
      <c r="O31">
        <v>0.82899999999999996</v>
      </c>
      <c r="P31">
        <v>0</v>
      </c>
      <c r="Q31">
        <v>16.003</v>
      </c>
      <c r="R31">
        <v>36.700000000000003</v>
      </c>
      <c r="S31">
        <v>6.1</v>
      </c>
    </row>
    <row r="32" spans="1:19" x14ac:dyDescent="0.3">
      <c r="A32" t="s">
        <v>986</v>
      </c>
      <c r="B32">
        <v>149.11699999999999</v>
      </c>
      <c r="C32">
        <v>69.744</v>
      </c>
      <c r="D32">
        <v>100</v>
      </c>
      <c r="E32">
        <v>0.33600000000000002</v>
      </c>
      <c r="F32">
        <v>79.491</v>
      </c>
      <c r="G32">
        <v>5.093</v>
      </c>
      <c r="H32">
        <v>56.564</v>
      </c>
      <c r="I32">
        <v>69.153000000000006</v>
      </c>
      <c r="J32">
        <v>0</v>
      </c>
      <c r="K32">
        <v>229.55</v>
      </c>
      <c r="L32">
        <v>0</v>
      </c>
      <c r="M32">
        <v>52.902999999999999</v>
      </c>
      <c r="N32">
        <v>0</v>
      </c>
      <c r="O32">
        <v>0.85899999999999999</v>
      </c>
      <c r="P32">
        <v>0</v>
      </c>
      <c r="Q32">
        <v>15.989000000000001</v>
      </c>
      <c r="R32">
        <v>36.700000000000003</v>
      </c>
      <c r="S32">
        <v>6.1</v>
      </c>
    </row>
    <row r="33" spans="1:19" x14ac:dyDescent="0.3">
      <c r="A33" t="s">
        <v>987</v>
      </c>
      <c r="B33">
        <v>149.25899999999999</v>
      </c>
      <c r="C33">
        <v>69.733999999999995</v>
      </c>
      <c r="D33">
        <v>100</v>
      </c>
      <c r="E33">
        <v>0.314</v>
      </c>
      <c r="F33">
        <v>79.070999999999998</v>
      </c>
      <c r="G33">
        <v>5.0599999999999996</v>
      </c>
      <c r="H33">
        <v>56.68</v>
      </c>
      <c r="I33">
        <v>69.691000000000003</v>
      </c>
      <c r="J33">
        <v>0</v>
      </c>
      <c r="K33">
        <v>229.68199999999999</v>
      </c>
      <c r="L33">
        <v>0</v>
      </c>
      <c r="M33">
        <v>52.875</v>
      </c>
      <c r="N33">
        <v>0</v>
      </c>
      <c r="O33">
        <v>0.84499999999999997</v>
      </c>
      <c r="P33">
        <v>0</v>
      </c>
      <c r="Q33">
        <v>15.97</v>
      </c>
      <c r="R33">
        <v>36.700000000000003</v>
      </c>
      <c r="S33">
        <v>6.1</v>
      </c>
    </row>
    <row r="34" spans="1:19" x14ac:dyDescent="0.3">
      <c r="A34" t="s">
        <v>988</v>
      </c>
      <c r="B34">
        <v>149.08799999999999</v>
      </c>
      <c r="C34">
        <v>69.646000000000001</v>
      </c>
      <c r="D34">
        <v>100</v>
      </c>
      <c r="E34">
        <v>0.33800000000000002</v>
      </c>
      <c r="F34">
        <v>79.83</v>
      </c>
      <c r="G34">
        <v>4.8680000000000003</v>
      </c>
      <c r="H34">
        <v>56.613999999999997</v>
      </c>
      <c r="I34">
        <v>69.698999999999998</v>
      </c>
      <c r="J34">
        <v>1E-3</v>
      </c>
      <c r="K34">
        <v>229.797</v>
      </c>
      <c r="L34">
        <v>0</v>
      </c>
      <c r="M34">
        <v>52.895000000000003</v>
      </c>
      <c r="N34">
        <v>0</v>
      </c>
      <c r="O34">
        <v>0.83499999999999996</v>
      </c>
      <c r="P34">
        <v>0</v>
      </c>
      <c r="Q34">
        <v>15.992000000000001</v>
      </c>
      <c r="R34">
        <v>36.6</v>
      </c>
      <c r="S34">
        <v>6.1</v>
      </c>
    </row>
    <row r="35" spans="1:19" ht="15" thickBot="1" x14ac:dyDescent="0.35">
      <c r="A35" t="s">
        <v>989</v>
      </c>
      <c r="B35">
        <v>149.249</v>
      </c>
      <c r="C35">
        <v>69.710999999999999</v>
      </c>
      <c r="D35">
        <v>100</v>
      </c>
      <c r="E35">
        <v>0.34300000000000003</v>
      </c>
      <c r="F35">
        <v>79.346999999999994</v>
      </c>
      <c r="G35">
        <v>4.6429999999999998</v>
      </c>
      <c r="H35">
        <v>56.628999999999998</v>
      </c>
      <c r="I35">
        <v>69.572000000000003</v>
      </c>
      <c r="J35">
        <v>1E-3</v>
      </c>
      <c r="K35">
        <v>229.714</v>
      </c>
      <c r="L35">
        <v>0</v>
      </c>
      <c r="M35">
        <v>52.877000000000002</v>
      </c>
      <c r="N35">
        <v>0</v>
      </c>
      <c r="O35">
        <v>0.85199999999999998</v>
      </c>
      <c r="P35">
        <v>0</v>
      </c>
      <c r="Q35">
        <v>15.978</v>
      </c>
      <c r="R35">
        <v>36.700000000000003</v>
      </c>
      <c r="S35">
        <v>6.1</v>
      </c>
    </row>
    <row r="36" spans="1:19" ht="15" thickBot="1" x14ac:dyDescent="0.35">
      <c r="A36" t="s">
        <v>30</v>
      </c>
      <c r="B36" s="1">
        <f>AVERAGE(B6:B35)</f>
        <v>149.75669999999994</v>
      </c>
      <c r="C36" s="1">
        <f>AVERAGE(C6:C35)</f>
        <v>69.761433333333315</v>
      </c>
      <c r="D36" s="1">
        <f t="shared" ref="D36:S36" si="0">AVERAGE(D6:D35)</f>
        <v>100</v>
      </c>
      <c r="E36" s="10">
        <f t="shared" si="0"/>
        <v>0.3244333333333333</v>
      </c>
      <c r="F36" s="1">
        <f t="shared" si="0"/>
        <v>78.978766666666658</v>
      </c>
      <c r="G36" s="1">
        <f t="shared" si="0"/>
        <v>4.9654333333333334</v>
      </c>
      <c r="H36" s="10">
        <f t="shared" si="0"/>
        <v>56.684766666666661</v>
      </c>
      <c r="I36" s="1">
        <f t="shared" si="0"/>
        <v>68.731966666666679</v>
      </c>
      <c r="J36" s="8">
        <f t="shared" si="0"/>
        <v>1.3000000000000006E-3</v>
      </c>
      <c r="K36" s="1">
        <f t="shared" si="0"/>
        <v>229.69366666666667</v>
      </c>
      <c r="L36" s="1">
        <f t="shared" si="0"/>
        <v>1.6333333333333339E-3</v>
      </c>
      <c r="M36" s="1">
        <f t="shared" si="0"/>
        <v>52.917699999999989</v>
      </c>
      <c r="N36" s="1">
        <f t="shared" si="0"/>
        <v>1E-4</v>
      </c>
      <c r="O36" s="1">
        <f t="shared" si="0"/>
        <v>0.86160000000000003</v>
      </c>
      <c r="P36" s="1">
        <f t="shared" si="0"/>
        <v>0</v>
      </c>
      <c r="Q36" s="1">
        <f t="shared" si="0"/>
        <v>15.781566666666668</v>
      </c>
      <c r="R36" s="1">
        <f t="shared" si="0"/>
        <v>36.90333333333335</v>
      </c>
      <c r="S36" s="1">
        <f t="shared" si="0"/>
        <v>6.099999999999997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8BDB-F9E6-4EB6-961C-78D58BD752A9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0.65037037037037038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1.8860378368709751</v>
      </c>
      <c r="M2" s="8">
        <f>100*(R26/(R26+Q26))</f>
        <v>70.673344462993867</v>
      </c>
      <c r="O2" s="9">
        <f>100*((E26*C2)/((E26*C2)+(K2*E2)))</f>
        <v>13.630765807559737</v>
      </c>
      <c r="Q2" s="10">
        <f>100*J26*(1/(((C2/3.6)*E26)+((E2/3.6)*K2)))</f>
        <v>6.6503555918270427</v>
      </c>
      <c r="S2" s="6">
        <v>3.54</v>
      </c>
      <c r="U2" s="10">
        <f>100*((((G26*0.001*60)*(C26-D26)*(S2/3.6)))/(((C2/3.6)*E26)+((E2/3.6)*K2)))</f>
        <v>30.929125216032183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690</v>
      </c>
      <c r="B6">
        <v>181.999</v>
      </c>
      <c r="C6">
        <v>69.537000000000006</v>
      </c>
      <c r="D6">
        <v>45.673999999999999</v>
      </c>
      <c r="E6">
        <v>0.34499999999999997</v>
      </c>
      <c r="F6">
        <v>79.643000000000001</v>
      </c>
      <c r="G6">
        <v>6.6310000000000002</v>
      </c>
      <c r="H6">
        <v>62.28</v>
      </c>
      <c r="I6">
        <v>70.433999999999997</v>
      </c>
      <c r="J6">
        <v>2.0190000000000001</v>
      </c>
      <c r="K6">
        <v>230.02699999999999</v>
      </c>
      <c r="L6">
        <v>2.9769999999999999</v>
      </c>
      <c r="M6">
        <v>52.731000000000002</v>
      </c>
      <c r="N6">
        <v>2.9710000000000001</v>
      </c>
      <c r="O6">
        <v>0.86399999999999999</v>
      </c>
      <c r="P6">
        <v>0</v>
      </c>
      <c r="Q6">
        <v>16.66</v>
      </c>
      <c r="R6">
        <v>40.799999999999997</v>
      </c>
      <c r="S6">
        <v>11.63</v>
      </c>
    </row>
    <row r="7" spans="1:21" x14ac:dyDescent="0.3">
      <c r="A7" t="s">
        <v>691</v>
      </c>
      <c r="B7">
        <v>181.81800000000001</v>
      </c>
      <c r="C7">
        <v>69.629000000000005</v>
      </c>
      <c r="D7">
        <v>45.640999999999998</v>
      </c>
      <c r="E7">
        <v>0.34699999999999998</v>
      </c>
      <c r="F7">
        <v>79.626000000000005</v>
      </c>
      <c r="G7">
        <v>6.2839999999999998</v>
      </c>
      <c r="H7">
        <v>62.298000000000002</v>
      </c>
      <c r="I7">
        <v>70.043999999999997</v>
      </c>
      <c r="J7">
        <v>2.02</v>
      </c>
      <c r="K7">
        <v>229.82900000000001</v>
      </c>
      <c r="L7">
        <v>2.8029999999999999</v>
      </c>
      <c r="M7">
        <v>52.749000000000002</v>
      </c>
      <c r="N7">
        <v>2.9569999999999999</v>
      </c>
      <c r="O7">
        <v>0.89600000000000002</v>
      </c>
      <c r="P7">
        <v>0</v>
      </c>
      <c r="Q7">
        <v>16.696000000000002</v>
      </c>
      <c r="R7">
        <v>40.799999999999997</v>
      </c>
      <c r="S7">
        <v>11.63</v>
      </c>
    </row>
    <row r="8" spans="1:21" x14ac:dyDescent="0.3">
      <c r="A8" t="s">
        <v>692</v>
      </c>
      <c r="B8">
        <v>181.982</v>
      </c>
      <c r="C8">
        <v>69.626000000000005</v>
      </c>
      <c r="D8">
        <v>45.716000000000001</v>
      </c>
      <c r="E8">
        <v>0.34200000000000003</v>
      </c>
      <c r="F8">
        <v>80.525999999999996</v>
      </c>
      <c r="G8">
        <v>6.7610000000000001</v>
      </c>
      <c r="H8">
        <v>62.252000000000002</v>
      </c>
      <c r="I8">
        <v>70.233000000000004</v>
      </c>
      <c r="J8">
        <v>2.0190000000000001</v>
      </c>
      <c r="K8">
        <v>230.059</v>
      </c>
      <c r="L8">
        <v>2.9969999999999999</v>
      </c>
      <c r="M8">
        <v>52.793999999999997</v>
      </c>
      <c r="N8">
        <v>2.9409999999999998</v>
      </c>
      <c r="O8">
        <v>0.85799999999999998</v>
      </c>
      <c r="P8">
        <v>0</v>
      </c>
      <c r="Q8">
        <v>16.722999999999999</v>
      </c>
      <c r="R8">
        <v>40.799999999999997</v>
      </c>
      <c r="S8">
        <v>11.63</v>
      </c>
    </row>
    <row r="9" spans="1:21" x14ac:dyDescent="0.3">
      <c r="A9" t="s">
        <v>693</v>
      </c>
      <c r="B9">
        <v>182.02</v>
      </c>
      <c r="C9">
        <v>69.602999999999994</v>
      </c>
      <c r="D9">
        <v>45.686999999999998</v>
      </c>
      <c r="E9">
        <v>0.32200000000000001</v>
      </c>
      <c r="F9">
        <v>79.941999999999993</v>
      </c>
      <c r="G9">
        <v>6.5519999999999996</v>
      </c>
      <c r="H9">
        <v>62.015000000000001</v>
      </c>
      <c r="I9">
        <v>70.397000000000006</v>
      </c>
      <c r="J9">
        <v>2.0190000000000001</v>
      </c>
      <c r="K9">
        <v>229.68199999999999</v>
      </c>
      <c r="L9">
        <v>3.01</v>
      </c>
      <c r="M9">
        <v>52.737000000000002</v>
      </c>
      <c r="N9">
        <v>2.9620000000000002</v>
      </c>
      <c r="O9">
        <v>0.875</v>
      </c>
      <c r="P9">
        <v>0</v>
      </c>
      <c r="Q9">
        <v>16.756</v>
      </c>
      <c r="R9">
        <v>40.700000000000003</v>
      </c>
      <c r="S9">
        <v>11.63</v>
      </c>
    </row>
    <row r="10" spans="1:21" x14ac:dyDescent="0.3">
      <c r="A10" t="s">
        <v>694</v>
      </c>
      <c r="B10">
        <v>181.92400000000001</v>
      </c>
      <c r="C10">
        <v>69.55</v>
      </c>
      <c r="D10">
        <v>45.697000000000003</v>
      </c>
      <c r="E10">
        <v>0.36199999999999999</v>
      </c>
      <c r="F10">
        <v>79.537000000000006</v>
      </c>
      <c r="G10">
        <v>6.5110000000000001</v>
      </c>
      <c r="H10">
        <v>62.35</v>
      </c>
      <c r="I10">
        <v>70.162999999999997</v>
      </c>
      <c r="J10">
        <v>2.0179999999999998</v>
      </c>
      <c r="K10">
        <v>230.04300000000001</v>
      </c>
      <c r="L10">
        <v>3.0059999999999998</v>
      </c>
      <c r="M10">
        <v>52.734999999999999</v>
      </c>
      <c r="N10">
        <v>2.9540000000000002</v>
      </c>
      <c r="O10">
        <v>0.878</v>
      </c>
      <c r="P10">
        <v>0</v>
      </c>
      <c r="Q10">
        <v>16.78</v>
      </c>
      <c r="R10">
        <v>40.700000000000003</v>
      </c>
      <c r="S10">
        <v>11.63</v>
      </c>
    </row>
    <row r="11" spans="1:21" x14ac:dyDescent="0.3">
      <c r="A11" t="s">
        <v>695</v>
      </c>
      <c r="B11">
        <v>181.732</v>
      </c>
      <c r="C11">
        <v>69.507999999999996</v>
      </c>
      <c r="D11">
        <v>45.728999999999999</v>
      </c>
      <c r="E11">
        <v>0.35599999999999998</v>
      </c>
      <c r="F11">
        <v>79.781000000000006</v>
      </c>
      <c r="G11">
        <v>6.4039999999999999</v>
      </c>
      <c r="H11">
        <v>62.442</v>
      </c>
      <c r="I11">
        <v>70.704999999999998</v>
      </c>
      <c r="J11">
        <v>2.0190000000000001</v>
      </c>
      <c r="K11">
        <v>229.91200000000001</v>
      </c>
      <c r="L11">
        <v>2.9740000000000002</v>
      </c>
      <c r="M11">
        <v>52.648000000000003</v>
      </c>
      <c r="N11">
        <v>2.9620000000000002</v>
      </c>
      <c r="O11">
        <v>0.85699999999999998</v>
      </c>
      <c r="P11">
        <v>0</v>
      </c>
      <c r="Q11">
        <v>16.797000000000001</v>
      </c>
      <c r="R11">
        <v>40.700000000000003</v>
      </c>
      <c r="S11">
        <v>11.63</v>
      </c>
    </row>
    <row r="12" spans="1:21" x14ac:dyDescent="0.3">
      <c r="A12" t="s">
        <v>696</v>
      </c>
      <c r="B12">
        <v>181.50700000000001</v>
      </c>
      <c r="C12">
        <v>69.510999999999996</v>
      </c>
      <c r="D12">
        <v>45.706000000000003</v>
      </c>
      <c r="E12">
        <v>0.33600000000000002</v>
      </c>
      <c r="F12">
        <v>79.123000000000005</v>
      </c>
      <c r="G12">
        <v>6.69</v>
      </c>
      <c r="H12">
        <v>62.436999999999998</v>
      </c>
      <c r="I12">
        <v>70.433999999999997</v>
      </c>
      <c r="J12">
        <v>2.0179999999999998</v>
      </c>
      <c r="K12">
        <v>229.994</v>
      </c>
      <c r="L12">
        <v>2.9609999999999999</v>
      </c>
      <c r="M12">
        <v>52.741</v>
      </c>
      <c r="N12">
        <v>2.9569999999999999</v>
      </c>
      <c r="O12">
        <v>0.85</v>
      </c>
      <c r="P12">
        <v>0</v>
      </c>
      <c r="Q12">
        <v>16.824999999999999</v>
      </c>
      <c r="R12">
        <v>40.700000000000003</v>
      </c>
      <c r="S12">
        <v>11.63</v>
      </c>
    </row>
    <row r="13" spans="1:21" x14ac:dyDescent="0.3">
      <c r="A13" t="s">
        <v>697</v>
      </c>
      <c r="B13">
        <v>181.98400000000001</v>
      </c>
      <c r="C13">
        <v>69.531000000000006</v>
      </c>
      <c r="D13">
        <v>45.515999999999998</v>
      </c>
      <c r="E13">
        <v>0.33900000000000002</v>
      </c>
      <c r="F13">
        <v>79.11</v>
      </c>
      <c r="G13">
        <v>6.6130000000000004</v>
      </c>
      <c r="H13">
        <v>62.223999999999997</v>
      </c>
      <c r="I13">
        <v>70.540999999999997</v>
      </c>
      <c r="J13">
        <v>2.02</v>
      </c>
      <c r="K13">
        <v>229.928</v>
      </c>
      <c r="L13">
        <v>3.012</v>
      </c>
      <c r="M13">
        <v>52.738999999999997</v>
      </c>
      <c r="N13">
        <v>2.9569999999999999</v>
      </c>
      <c r="O13">
        <v>0.86299999999999999</v>
      </c>
      <c r="P13">
        <v>0</v>
      </c>
      <c r="Q13">
        <v>16.873999999999999</v>
      </c>
      <c r="R13">
        <v>40.700000000000003</v>
      </c>
      <c r="S13">
        <v>11.63</v>
      </c>
    </row>
    <row r="14" spans="1:21" x14ac:dyDescent="0.3">
      <c r="A14" t="s">
        <v>698</v>
      </c>
      <c r="B14">
        <v>181.98400000000001</v>
      </c>
      <c r="C14">
        <v>69.540999999999997</v>
      </c>
      <c r="D14">
        <v>45.246000000000002</v>
      </c>
      <c r="E14">
        <v>0.34499999999999997</v>
      </c>
      <c r="F14">
        <v>80.894000000000005</v>
      </c>
      <c r="G14">
        <v>6.69</v>
      </c>
      <c r="H14">
        <v>62.134999999999998</v>
      </c>
      <c r="I14">
        <v>70.688999999999993</v>
      </c>
      <c r="J14">
        <v>2.0169999999999999</v>
      </c>
      <c r="K14">
        <v>229.928</v>
      </c>
      <c r="L14">
        <v>3.0259999999999998</v>
      </c>
      <c r="M14">
        <v>52.755000000000003</v>
      </c>
      <c r="N14">
        <v>2.96</v>
      </c>
      <c r="O14">
        <v>0.88300000000000001</v>
      </c>
      <c r="P14">
        <v>0</v>
      </c>
      <c r="Q14">
        <v>16.943000000000001</v>
      </c>
      <c r="R14">
        <v>40.6</v>
      </c>
      <c r="S14">
        <v>11.63</v>
      </c>
    </row>
    <row r="15" spans="1:21" x14ac:dyDescent="0.3">
      <c r="A15" t="s">
        <v>699</v>
      </c>
      <c r="B15">
        <v>181.774</v>
      </c>
      <c r="C15">
        <v>69.593000000000004</v>
      </c>
      <c r="D15">
        <v>45.216999999999999</v>
      </c>
      <c r="E15">
        <v>0.36699999999999999</v>
      </c>
      <c r="F15">
        <v>80.177999999999997</v>
      </c>
      <c r="G15">
        <v>7.101</v>
      </c>
      <c r="H15">
        <v>62.036000000000001</v>
      </c>
      <c r="I15">
        <v>70.704999999999998</v>
      </c>
      <c r="J15">
        <v>2.0179999999999998</v>
      </c>
      <c r="K15">
        <v>230.01</v>
      </c>
      <c r="L15">
        <v>2.8980000000000001</v>
      </c>
      <c r="M15">
        <v>52.747</v>
      </c>
      <c r="N15">
        <v>2.9529999999999998</v>
      </c>
      <c r="O15">
        <v>0.86399999999999999</v>
      </c>
      <c r="P15">
        <v>0</v>
      </c>
      <c r="Q15">
        <v>16.951000000000001</v>
      </c>
      <c r="R15">
        <v>40.700000000000003</v>
      </c>
      <c r="S15">
        <v>11.63</v>
      </c>
    </row>
    <row r="16" spans="1:21" x14ac:dyDescent="0.3">
      <c r="A16" t="s">
        <v>700</v>
      </c>
      <c r="B16">
        <v>181.74100000000001</v>
      </c>
      <c r="C16">
        <v>69.635999999999996</v>
      </c>
      <c r="D16">
        <v>45.286000000000001</v>
      </c>
      <c r="E16">
        <v>0.33</v>
      </c>
      <c r="F16">
        <v>79.866</v>
      </c>
      <c r="G16">
        <v>6.516</v>
      </c>
      <c r="H16">
        <v>62.433999999999997</v>
      </c>
      <c r="I16">
        <v>70.742000000000004</v>
      </c>
      <c r="J16">
        <v>2.0150000000000001</v>
      </c>
      <c r="K16">
        <v>229.87899999999999</v>
      </c>
      <c r="L16">
        <v>2.8959999999999999</v>
      </c>
      <c r="M16">
        <v>52.741</v>
      </c>
      <c r="N16">
        <v>2.96</v>
      </c>
      <c r="O16">
        <v>0.86399999999999999</v>
      </c>
      <c r="P16">
        <v>0</v>
      </c>
      <c r="Q16">
        <v>16.887</v>
      </c>
      <c r="R16">
        <v>40.6</v>
      </c>
      <c r="S16">
        <v>11.63</v>
      </c>
    </row>
    <row r="17" spans="1:19" x14ac:dyDescent="0.3">
      <c r="A17" t="s">
        <v>701</v>
      </c>
      <c r="B17">
        <v>181.53399999999999</v>
      </c>
      <c r="C17">
        <v>69.652000000000001</v>
      </c>
      <c r="D17">
        <v>45.222999999999999</v>
      </c>
      <c r="E17">
        <v>0.34799999999999998</v>
      </c>
      <c r="F17">
        <v>79.960999999999999</v>
      </c>
      <c r="G17">
        <v>6.6310000000000002</v>
      </c>
      <c r="H17">
        <v>62.298999999999999</v>
      </c>
      <c r="I17">
        <v>70.59</v>
      </c>
      <c r="J17">
        <v>2.0209999999999999</v>
      </c>
      <c r="K17">
        <v>230.02699999999999</v>
      </c>
      <c r="L17">
        <v>2.9049999999999998</v>
      </c>
      <c r="M17">
        <v>52.686</v>
      </c>
      <c r="N17">
        <v>2.9590000000000001</v>
      </c>
      <c r="O17">
        <v>0.877</v>
      </c>
      <c r="P17">
        <v>0</v>
      </c>
      <c r="Q17">
        <v>16.823</v>
      </c>
      <c r="R17">
        <v>40.6</v>
      </c>
      <c r="S17">
        <v>11.63</v>
      </c>
    </row>
    <row r="18" spans="1:19" x14ac:dyDescent="0.3">
      <c r="A18" t="s">
        <v>702</v>
      </c>
      <c r="B18">
        <v>181.68700000000001</v>
      </c>
      <c r="C18">
        <v>69.649000000000001</v>
      </c>
      <c r="D18">
        <v>45.22</v>
      </c>
      <c r="E18">
        <v>0.36799999999999999</v>
      </c>
      <c r="F18">
        <v>80.02</v>
      </c>
      <c r="G18">
        <v>6.5670000000000002</v>
      </c>
      <c r="H18">
        <v>62.304000000000002</v>
      </c>
      <c r="I18">
        <v>70.866</v>
      </c>
      <c r="J18">
        <v>2.0169999999999999</v>
      </c>
      <c r="K18">
        <v>229.78</v>
      </c>
      <c r="L18">
        <v>2.891</v>
      </c>
      <c r="M18">
        <v>52.66</v>
      </c>
      <c r="N18">
        <v>2.9569999999999999</v>
      </c>
      <c r="O18">
        <v>0.85299999999999998</v>
      </c>
      <c r="P18">
        <v>0</v>
      </c>
      <c r="Q18">
        <v>16.843</v>
      </c>
      <c r="R18">
        <v>40.6</v>
      </c>
      <c r="S18">
        <v>11.63</v>
      </c>
    </row>
    <row r="19" spans="1:19" x14ac:dyDescent="0.3">
      <c r="A19" t="s">
        <v>703</v>
      </c>
      <c r="B19">
        <v>181.56299999999999</v>
      </c>
      <c r="C19">
        <v>69.671999999999997</v>
      </c>
      <c r="D19">
        <v>45.25</v>
      </c>
      <c r="E19">
        <v>0.33600000000000002</v>
      </c>
      <c r="F19">
        <v>80.260000000000005</v>
      </c>
      <c r="G19">
        <v>6.4939999999999998</v>
      </c>
      <c r="H19">
        <v>62.02</v>
      </c>
      <c r="I19">
        <v>70.704999999999998</v>
      </c>
      <c r="J19">
        <v>2.0190000000000001</v>
      </c>
      <c r="K19">
        <v>230.09200000000001</v>
      </c>
      <c r="L19">
        <v>2.9020000000000001</v>
      </c>
      <c r="M19">
        <v>52.732999999999997</v>
      </c>
      <c r="N19">
        <v>2.9540000000000002</v>
      </c>
      <c r="O19">
        <v>0.87</v>
      </c>
      <c r="P19">
        <v>0</v>
      </c>
      <c r="Q19">
        <v>16.869</v>
      </c>
      <c r="R19">
        <v>40.6</v>
      </c>
      <c r="S19">
        <v>11.63</v>
      </c>
    </row>
    <row r="20" spans="1:19" x14ac:dyDescent="0.3">
      <c r="A20" t="s">
        <v>704</v>
      </c>
      <c r="B20">
        <v>181.39</v>
      </c>
      <c r="C20">
        <v>69.718000000000004</v>
      </c>
      <c r="D20">
        <v>45.161000000000001</v>
      </c>
      <c r="E20">
        <v>0.35299999999999998</v>
      </c>
      <c r="F20">
        <v>79.679000000000002</v>
      </c>
      <c r="G20">
        <v>6.4109999999999996</v>
      </c>
      <c r="H20">
        <v>62.085000000000001</v>
      </c>
      <c r="I20">
        <v>70.685000000000002</v>
      </c>
      <c r="J20">
        <v>2.0129999999999999</v>
      </c>
      <c r="K20">
        <v>229.81299999999999</v>
      </c>
      <c r="L20">
        <v>2.895</v>
      </c>
      <c r="M20">
        <v>52.732999999999997</v>
      </c>
      <c r="N20">
        <v>2.956</v>
      </c>
      <c r="O20">
        <v>0.86</v>
      </c>
      <c r="P20">
        <v>0</v>
      </c>
      <c r="Q20">
        <v>16.890999999999998</v>
      </c>
      <c r="R20">
        <v>40.6</v>
      </c>
      <c r="S20">
        <v>11.63</v>
      </c>
    </row>
    <row r="21" spans="1:19" x14ac:dyDescent="0.3">
      <c r="A21" t="s">
        <v>705</v>
      </c>
      <c r="B21">
        <v>181.357</v>
      </c>
      <c r="C21">
        <v>69.697999999999993</v>
      </c>
      <c r="D21">
        <v>45.107999999999997</v>
      </c>
      <c r="E21">
        <v>0.377</v>
      </c>
      <c r="F21">
        <v>79.349999999999994</v>
      </c>
      <c r="G21">
        <v>6.4779999999999998</v>
      </c>
      <c r="H21">
        <v>62.238</v>
      </c>
      <c r="I21">
        <v>70.915000000000006</v>
      </c>
      <c r="J21">
        <v>2.02</v>
      </c>
      <c r="K21">
        <v>229.994</v>
      </c>
      <c r="L21">
        <v>2.9039999999999999</v>
      </c>
      <c r="M21">
        <v>52.661999999999999</v>
      </c>
      <c r="N21">
        <v>2.9550000000000001</v>
      </c>
      <c r="O21">
        <v>0.85599999999999998</v>
      </c>
      <c r="P21">
        <v>0</v>
      </c>
      <c r="Q21">
        <v>16.920000000000002</v>
      </c>
      <c r="R21">
        <v>40.6</v>
      </c>
      <c r="S21">
        <v>11.63</v>
      </c>
    </row>
    <row r="22" spans="1:19" x14ac:dyDescent="0.3">
      <c r="A22" t="s">
        <v>706</v>
      </c>
      <c r="B22">
        <v>181.18899999999999</v>
      </c>
      <c r="C22">
        <v>69.665000000000006</v>
      </c>
      <c r="D22">
        <v>45.572000000000003</v>
      </c>
      <c r="E22">
        <v>0.36199999999999999</v>
      </c>
      <c r="F22">
        <v>79.635999999999996</v>
      </c>
      <c r="G22">
        <v>6.6639999999999997</v>
      </c>
      <c r="H22">
        <v>62.354999999999997</v>
      </c>
      <c r="I22">
        <v>70.938999999999993</v>
      </c>
      <c r="J22">
        <v>2.016</v>
      </c>
      <c r="K22">
        <v>229.74700000000001</v>
      </c>
      <c r="L22">
        <v>2.895</v>
      </c>
      <c r="M22">
        <v>52.720999999999997</v>
      </c>
      <c r="N22">
        <v>2.9609999999999999</v>
      </c>
      <c r="O22">
        <v>0.88300000000000001</v>
      </c>
      <c r="P22">
        <v>0</v>
      </c>
      <c r="Q22">
        <v>16.951000000000001</v>
      </c>
      <c r="R22">
        <v>40.6</v>
      </c>
      <c r="S22">
        <v>11.63</v>
      </c>
    </row>
    <row r="23" spans="1:19" x14ac:dyDescent="0.3">
      <c r="A23" t="s">
        <v>707</v>
      </c>
      <c r="B23">
        <v>181.01599999999999</v>
      </c>
      <c r="C23">
        <v>69.679000000000002</v>
      </c>
      <c r="D23">
        <v>45.496000000000002</v>
      </c>
      <c r="E23">
        <v>0.32900000000000001</v>
      </c>
      <c r="F23">
        <v>80.283000000000001</v>
      </c>
      <c r="G23">
        <v>6.5060000000000002</v>
      </c>
      <c r="H23">
        <v>62.378</v>
      </c>
      <c r="I23">
        <v>70.837000000000003</v>
      </c>
      <c r="J23">
        <v>2.0190000000000001</v>
      </c>
      <c r="K23">
        <v>230.142</v>
      </c>
      <c r="L23">
        <v>2.903</v>
      </c>
      <c r="M23">
        <v>52.709000000000003</v>
      </c>
      <c r="N23">
        <v>2.9540000000000002</v>
      </c>
      <c r="O23">
        <v>0.86299999999999999</v>
      </c>
      <c r="P23">
        <v>0</v>
      </c>
      <c r="Q23">
        <v>16.992000000000001</v>
      </c>
      <c r="R23">
        <v>40.5</v>
      </c>
      <c r="S23">
        <v>11.63</v>
      </c>
    </row>
    <row r="24" spans="1:19" x14ac:dyDescent="0.3">
      <c r="A24" t="s">
        <v>708</v>
      </c>
      <c r="B24">
        <v>181.03800000000001</v>
      </c>
      <c r="C24">
        <v>69.733999999999995</v>
      </c>
      <c r="D24">
        <v>45.45</v>
      </c>
      <c r="E24">
        <v>0.34300000000000003</v>
      </c>
      <c r="F24">
        <v>79.685000000000002</v>
      </c>
      <c r="G24">
        <v>6.5110000000000001</v>
      </c>
      <c r="H24">
        <v>62.332999999999998</v>
      </c>
      <c r="I24">
        <v>70.644000000000005</v>
      </c>
      <c r="J24">
        <v>2.0190000000000001</v>
      </c>
      <c r="K24">
        <v>229.82900000000001</v>
      </c>
      <c r="L24">
        <v>2.9020000000000001</v>
      </c>
      <c r="M24">
        <v>52.701999999999998</v>
      </c>
      <c r="N24">
        <v>2.9489999999999998</v>
      </c>
      <c r="O24">
        <v>0.84899999999999998</v>
      </c>
      <c r="P24">
        <v>0</v>
      </c>
      <c r="Q24">
        <v>17.044</v>
      </c>
      <c r="R24">
        <v>40.4</v>
      </c>
      <c r="S24">
        <v>11.63</v>
      </c>
    </row>
    <row r="25" spans="1:19" ht="15" thickBot="1" x14ac:dyDescent="0.35">
      <c r="A25" t="s">
        <v>709</v>
      </c>
      <c r="B25">
        <v>181.36699999999999</v>
      </c>
      <c r="C25">
        <v>69.688000000000002</v>
      </c>
      <c r="D25">
        <v>45.542000000000002</v>
      </c>
      <c r="E25">
        <v>0.36799999999999999</v>
      </c>
      <c r="F25">
        <v>79.215000000000003</v>
      </c>
      <c r="G25">
        <v>6.657</v>
      </c>
      <c r="H25">
        <v>62.463999999999999</v>
      </c>
      <c r="I25">
        <v>71.042000000000002</v>
      </c>
      <c r="J25">
        <v>2.0179999999999998</v>
      </c>
      <c r="K25">
        <v>230.09200000000001</v>
      </c>
      <c r="L25">
        <v>2.9009999999999998</v>
      </c>
      <c r="M25">
        <v>52.701999999999998</v>
      </c>
      <c r="N25">
        <v>2.9580000000000002</v>
      </c>
      <c r="O25">
        <v>0.873</v>
      </c>
      <c r="P25">
        <v>0</v>
      </c>
      <c r="Q25">
        <v>17.055</v>
      </c>
      <c r="R25">
        <v>40.5</v>
      </c>
      <c r="S25">
        <v>11.63</v>
      </c>
    </row>
    <row r="26" spans="1:19" ht="15" thickBot="1" x14ac:dyDescent="0.35">
      <c r="A26" t="s">
        <v>30</v>
      </c>
      <c r="B26" s="1">
        <f t="shared" ref="B26:S26" si="0">AVERAGE(B6:B25)</f>
        <v>181.63029999999998</v>
      </c>
      <c r="C26" s="1">
        <f t="shared" si="0"/>
        <v>69.621000000000009</v>
      </c>
      <c r="D26" s="1">
        <f t="shared" si="0"/>
        <v>45.456850000000003</v>
      </c>
      <c r="E26" s="10">
        <f t="shared" si="0"/>
        <v>0.34875</v>
      </c>
      <c r="F26" s="1">
        <f t="shared" si="0"/>
        <v>79.815749999999994</v>
      </c>
      <c r="G26" s="1">
        <f t="shared" si="0"/>
        <v>6.5835999999999997</v>
      </c>
      <c r="H26" s="10">
        <f t="shared" si="0"/>
        <v>62.268949999999997</v>
      </c>
      <c r="I26" s="1">
        <f t="shared" si="0"/>
        <v>70.615499999999997</v>
      </c>
      <c r="J26" s="8">
        <f t="shared" si="0"/>
        <v>2.0181999999999998</v>
      </c>
      <c r="K26" s="1">
        <f t="shared" si="0"/>
        <v>229.94034999999994</v>
      </c>
      <c r="L26" s="1">
        <f t="shared" si="0"/>
        <v>2.9329000000000001</v>
      </c>
      <c r="M26" s="1">
        <f t="shared" si="0"/>
        <v>52.721249999999998</v>
      </c>
      <c r="N26" s="1">
        <f t="shared" si="0"/>
        <v>2.9568500000000002</v>
      </c>
      <c r="O26" s="1">
        <f t="shared" si="0"/>
        <v>0.8667999999999999</v>
      </c>
      <c r="P26" s="1">
        <f t="shared" si="0"/>
        <v>0</v>
      </c>
      <c r="Q26" s="1">
        <f t="shared" si="0"/>
        <v>16.864000000000001</v>
      </c>
      <c r="R26" s="1">
        <f t="shared" si="0"/>
        <v>40.64</v>
      </c>
      <c r="S26" s="1">
        <f t="shared" si="0"/>
        <v>11.629999999999997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23C8-BDA6-4B2F-8BA7-8D92B4931D51}">
  <dimension ref="A1:U36"/>
  <sheetViews>
    <sheetView zoomScale="85" zoomScaleNormal="85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0.61446759259259254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1.8874518907767457</v>
      </c>
      <c r="M2" s="8">
        <f>100*(R36/(R36+Q36))</f>
        <v>69.92390199045262</v>
      </c>
      <c r="O2" s="9">
        <f>100*((E36*C2)/((E36*C2)+(K2*E2)))</f>
        <v>14.624030960283537</v>
      </c>
      <c r="Q2" s="10">
        <f>100*J36*(1/(((C2/3.6)*E36)+((E2/3.6)*K2)))</f>
        <v>6.5154618523519892</v>
      </c>
      <c r="S2" s="6">
        <v>3.54</v>
      </c>
      <c r="U2" s="10">
        <f>100*((((G36*0.001*60)*(C36-D36)*(S2/3.6)))/(((C2/3.6)*E36)+((E2/3.6)*K2)))</f>
        <v>-32.369524576943796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930</v>
      </c>
      <c r="B6">
        <v>175.749</v>
      </c>
      <c r="C6">
        <v>70.352000000000004</v>
      </c>
      <c r="D6">
        <v>100</v>
      </c>
      <c r="E6">
        <v>0.41399999999999998</v>
      </c>
      <c r="F6">
        <v>79.816999999999993</v>
      </c>
      <c r="G6">
        <v>5.5250000000000004</v>
      </c>
      <c r="H6">
        <v>63.064</v>
      </c>
      <c r="I6">
        <v>57.933999999999997</v>
      </c>
      <c r="J6">
        <v>2.0129999999999999</v>
      </c>
      <c r="K6">
        <v>230.339</v>
      </c>
      <c r="L6">
        <v>3.008</v>
      </c>
      <c r="M6">
        <v>52.765000000000001</v>
      </c>
      <c r="N6">
        <v>2.93</v>
      </c>
      <c r="O6">
        <v>0.88600000000000001</v>
      </c>
      <c r="P6">
        <v>0</v>
      </c>
      <c r="Q6">
        <v>17.545999999999999</v>
      </c>
      <c r="R6">
        <v>41</v>
      </c>
      <c r="S6">
        <v>3.3</v>
      </c>
    </row>
    <row r="7" spans="1:21" x14ac:dyDescent="0.3">
      <c r="A7" t="s">
        <v>931</v>
      </c>
      <c r="B7">
        <v>175.71199999999999</v>
      </c>
      <c r="C7">
        <v>70.296000000000006</v>
      </c>
      <c r="D7">
        <v>100</v>
      </c>
      <c r="E7">
        <v>0.40300000000000002</v>
      </c>
      <c r="F7">
        <v>79.921999999999997</v>
      </c>
      <c r="G7">
        <v>5.4550000000000001</v>
      </c>
      <c r="H7">
        <v>63.14</v>
      </c>
      <c r="I7">
        <v>58.057000000000002</v>
      </c>
      <c r="J7">
        <v>2.0089999999999999</v>
      </c>
      <c r="K7">
        <v>229.846</v>
      </c>
      <c r="L7">
        <v>3.0030000000000001</v>
      </c>
      <c r="M7">
        <v>52.658000000000001</v>
      </c>
      <c r="N7">
        <v>2.9279999999999999</v>
      </c>
      <c r="O7">
        <v>0.88400000000000001</v>
      </c>
      <c r="P7">
        <v>0</v>
      </c>
      <c r="Q7">
        <v>17.577000000000002</v>
      </c>
      <c r="R7">
        <v>40.9</v>
      </c>
      <c r="S7">
        <v>3.3</v>
      </c>
    </row>
    <row r="8" spans="1:21" x14ac:dyDescent="0.3">
      <c r="A8" t="s">
        <v>932</v>
      </c>
      <c r="B8">
        <v>175.733</v>
      </c>
      <c r="C8">
        <v>70.316000000000003</v>
      </c>
      <c r="D8">
        <v>100</v>
      </c>
      <c r="E8">
        <v>0.377</v>
      </c>
      <c r="F8">
        <v>80.05</v>
      </c>
      <c r="G8">
        <v>5.665</v>
      </c>
      <c r="H8">
        <v>63.064</v>
      </c>
      <c r="I8">
        <v>58.405999999999999</v>
      </c>
      <c r="J8">
        <v>2.0129999999999999</v>
      </c>
      <c r="K8">
        <v>230.125</v>
      </c>
      <c r="L8">
        <v>3</v>
      </c>
      <c r="M8">
        <v>52.692</v>
      </c>
      <c r="N8">
        <v>2.93</v>
      </c>
      <c r="O8">
        <v>0.86399999999999999</v>
      </c>
      <c r="P8">
        <v>0</v>
      </c>
      <c r="Q8">
        <v>17.585999999999999</v>
      </c>
      <c r="R8">
        <v>41</v>
      </c>
      <c r="S8">
        <v>3.3</v>
      </c>
    </row>
    <row r="9" spans="1:21" x14ac:dyDescent="0.3">
      <c r="A9" t="s">
        <v>933</v>
      </c>
      <c r="B9">
        <v>175.916</v>
      </c>
      <c r="C9">
        <v>70.378</v>
      </c>
      <c r="D9">
        <v>100</v>
      </c>
      <c r="E9">
        <v>0.38500000000000001</v>
      </c>
      <c r="F9">
        <v>80.438000000000002</v>
      </c>
      <c r="G9">
        <v>5.601</v>
      </c>
      <c r="H9">
        <v>63.036999999999999</v>
      </c>
      <c r="I9">
        <v>58.3</v>
      </c>
      <c r="J9">
        <v>2.008</v>
      </c>
      <c r="K9">
        <v>229.74700000000001</v>
      </c>
      <c r="L9">
        <v>2.9620000000000002</v>
      </c>
      <c r="M9">
        <v>52.747</v>
      </c>
      <c r="N9">
        <v>2.9249999999999998</v>
      </c>
      <c r="O9">
        <v>0.85799999999999998</v>
      </c>
      <c r="P9">
        <v>0</v>
      </c>
      <c r="Q9">
        <v>17.588000000000001</v>
      </c>
      <c r="R9">
        <v>41</v>
      </c>
      <c r="S9">
        <v>3.3</v>
      </c>
    </row>
    <row r="10" spans="1:21" x14ac:dyDescent="0.3">
      <c r="A10" t="s">
        <v>934</v>
      </c>
      <c r="B10">
        <v>175.73099999999999</v>
      </c>
      <c r="C10">
        <v>70.441000000000003</v>
      </c>
      <c r="D10">
        <v>100</v>
      </c>
      <c r="E10">
        <v>0.39500000000000002</v>
      </c>
      <c r="F10">
        <v>80.102000000000004</v>
      </c>
      <c r="G10">
        <v>5.7770000000000001</v>
      </c>
      <c r="H10">
        <v>62.850999999999999</v>
      </c>
      <c r="I10">
        <v>59.018000000000001</v>
      </c>
      <c r="J10">
        <v>2.012</v>
      </c>
      <c r="K10">
        <v>230.125</v>
      </c>
      <c r="L10">
        <v>2.9020000000000001</v>
      </c>
      <c r="M10">
        <v>52.695999999999998</v>
      </c>
      <c r="N10">
        <v>2.931</v>
      </c>
      <c r="O10">
        <v>0.876</v>
      </c>
      <c r="P10">
        <v>0</v>
      </c>
      <c r="Q10">
        <v>17.594999999999999</v>
      </c>
      <c r="R10">
        <v>41</v>
      </c>
      <c r="S10">
        <v>3.3</v>
      </c>
    </row>
    <row r="11" spans="1:21" x14ac:dyDescent="0.3">
      <c r="A11" t="s">
        <v>935</v>
      </c>
      <c r="B11">
        <v>175.57900000000001</v>
      </c>
      <c r="C11">
        <v>70.394999999999996</v>
      </c>
      <c r="D11">
        <v>100</v>
      </c>
      <c r="E11">
        <v>0.35899999999999999</v>
      </c>
      <c r="F11">
        <v>79.623000000000005</v>
      </c>
      <c r="G11">
        <v>5.6859999999999999</v>
      </c>
      <c r="H11">
        <v>62.811</v>
      </c>
      <c r="I11">
        <v>59.125</v>
      </c>
      <c r="J11">
        <v>2.0110000000000001</v>
      </c>
      <c r="K11">
        <v>229.78</v>
      </c>
      <c r="L11">
        <v>2.8959999999999999</v>
      </c>
      <c r="M11">
        <v>52.709000000000003</v>
      </c>
      <c r="N11">
        <v>2.927</v>
      </c>
      <c r="O11">
        <v>0.88200000000000001</v>
      </c>
      <c r="P11">
        <v>0</v>
      </c>
      <c r="Q11">
        <v>17.582999999999998</v>
      </c>
      <c r="R11">
        <v>41</v>
      </c>
      <c r="S11">
        <v>3.3</v>
      </c>
    </row>
    <row r="12" spans="1:21" x14ac:dyDescent="0.3">
      <c r="A12" t="s">
        <v>936</v>
      </c>
      <c r="B12">
        <v>175.637</v>
      </c>
      <c r="C12">
        <v>70.391000000000005</v>
      </c>
      <c r="D12">
        <v>100</v>
      </c>
      <c r="E12">
        <v>0.371</v>
      </c>
      <c r="F12">
        <v>78.808000000000007</v>
      </c>
      <c r="G12">
        <v>5.657</v>
      </c>
      <c r="H12">
        <v>62.999000000000002</v>
      </c>
      <c r="I12">
        <v>59.457999999999998</v>
      </c>
      <c r="J12">
        <v>2.0110000000000001</v>
      </c>
      <c r="K12">
        <v>230.07599999999999</v>
      </c>
      <c r="L12">
        <v>2.9729999999999999</v>
      </c>
      <c r="M12">
        <v>52.576999999999998</v>
      </c>
      <c r="N12">
        <v>2.883</v>
      </c>
      <c r="O12">
        <v>0.875</v>
      </c>
      <c r="P12">
        <v>0</v>
      </c>
      <c r="Q12">
        <v>17.599</v>
      </c>
      <c r="R12">
        <v>41</v>
      </c>
      <c r="S12">
        <v>3.3</v>
      </c>
    </row>
    <row r="13" spans="1:21" x14ac:dyDescent="0.3">
      <c r="A13" t="s">
        <v>937</v>
      </c>
      <c r="B13">
        <v>175.52799999999999</v>
      </c>
      <c r="C13">
        <v>70.503</v>
      </c>
      <c r="D13">
        <v>100</v>
      </c>
      <c r="E13">
        <v>0.39200000000000002</v>
      </c>
      <c r="F13">
        <v>80.072999999999993</v>
      </c>
      <c r="G13">
        <v>6.12</v>
      </c>
      <c r="H13">
        <v>63.113</v>
      </c>
      <c r="I13">
        <v>59.889000000000003</v>
      </c>
      <c r="J13">
        <v>2.0099999999999998</v>
      </c>
      <c r="K13">
        <v>229.69800000000001</v>
      </c>
      <c r="L13">
        <v>2.899</v>
      </c>
      <c r="M13">
        <v>52.783999999999999</v>
      </c>
      <c r="N13">
        <v>2.9209999999999998</v>
      </c>
      <c r="O13">
        <v>0.86499999999999999</v>
      </c>
      <c r="P13">
        <v>0</v>
      </c>
      <c r="Q13">
        <v>17.588999999999999</v>
      </c>
      <c r="R13">
        <v>41</v>
      </c>
      <c r="S13">
        <v>3.3</v>
      </c>
    </row>
    <row r="14" spans="1:21" x14ac:dyDescent="0.3">
      <c r="A14" t="s">
        <v>938</v>
      </c>
      <c r="B14">
        <v>175.702</v>
      </c>
      <c r="C14">
        <v>70.516000000000005</v>
      </c>
      <c r="D14">
        <v>100</v>
      </c>
      <c r="E14">
        <v>0.36299999999999999</v>
      </c>
      <c r="F14">
        <v>78.099000000000004</v>
      </c>
      <c r="G14">
        <v>5.2869999999999999</v>
      </c>
      <c r="H14">
        <v>62.942</v>
      </c>
      <c r="I14">
        <v>60</v>
      </c>
      <c r="J14">
        <v>2.0110000000000001</v>
      </c>
      <c r="K14">
        <v>230.01</v>
      </c>
      <c r="L14">
        <v>2.9009999999999998</v>
      </c>
      <c r="M14">
        <v>52.694000000000003</v>
      </c>
      <c r="N14">
        <v>2.927</v>
      </c>
      <c r="O14">
        <v>0.86</v>
      </c>
      <c r="P14">
        <v>0</v>
      </c>
      <c r="Q14">
        <v>17.611000000000001</v>
      </c>
      <c r="R14">
        <v>41</v>
      </c>
      <c r="S14">
        <v>3.3</v>
      </c>
    </row>
    <row r="15" spans="1:21" x14ac:dyDescent="0.3">
      <c r="A15" t="s">
        <v>939</v>
      </c>
      <c r="B15">
        <v>175.53299999999999</v>
      </c>
      <c r="C15">
        <v>70.414000000000001</v>
      </c>
      <c r="D15">
        <v>100</v>
      </c>
      <c r="E15">
        <v>0.38500000000000001</v>
      </c>
      <c r="F15">
        <v>79.034999999999997</v>
      </c>
      <c r="G15">
        <v>5.6909999999999998</v>
      </c>
      <c r="H15">
        <v>63.098999999999997</v>
      </c>
      <c r="I15">
        <v>60.033000000000001</v>
      </c>
      <c r="J15">
        <v>2.0099999999999998</v>
      </c>
      <c r="K15">
        <v>229.846</v>
      </c>
      <c r="L15">
        <v>2.91</v>
      </c>
      <c r="M15">
        <v>52.787999999999997</v>
      </c>
      <c r="N15">
        <v>2.9260000000000002</v>
      </c>
      <c r="O15">
        <v>0.872</v>
      </c>
      <c r="P15">
        <v>0</v>
      </c>
      <c r="Q15">
        <v>17.611000000000001</v>
      </c>
      <c r="R15">
        <v>41</v>
      </c>
      <c r="S15">
        <v>3.3</v>
      </c>
    </row>
    <row r="16" spans="1:21" x14ac:dyDescent="0.3">
      <c r="A16" t="s">
        <v>940</v>
      </c>
      <c r="B16">
        <v>176.18100000000001</v>
      </c>
      <c r="C16">
        <v>70.5</v>
      </c>
      <c r="D16">
        <v>100</v>
      </c>
      <c r="E16">
        <v>0.39600000000000002</v>
      </c>
      <c r="F16">
        <v>79.790000000000006</v>
      </c>
      <c r="G16">
        <v>5.5659999999999998</v>
      </c>
      <c r="H16">
        <v>62.98</v>
      </c>
      <c r="I16">
        <v>60.298999999999999</v>
      </c>
      <c r="J16">
        <v>2.0089999999999999</v>
      </c>
      <c r="K16">
        <v>229.994</v>
      </c>
      <c r="L16">
        <v>2.8959999999999999</v>
      </c>
      <c r="M16">
        <v>52.682000000000002</v>
      </c>
      <c r="N16">
        <v>2.931</v>
      </c>
      <c r="O16">
        <v>0.88900000000000001</v>
      </c>
      <c r="P16">
        <v>0</v>
      </c>
      <c r="Q16">
        <v>17.613</v>
      </c>
      <c r="R16">
        <v>40.9</v>
      </c>
      <c r="S16">
        <v>3.3</v>
      </c>
    </row>
    <row r="17" spans="1:19" x14ac:dyDescent="0.3">
      <c r="A17" t="s">
        <v>941</v>
      </c>
      <c r="B17">
        <v>175.79499999999999</v>
      </c>
      <c r="C17">
        <v>70.385000000000005</v>
      </c>
      <c r="D17">
        <v>100</v>
      </c>
      <c r="E17">
        <v>0.39500000000000002</v>
      </c>
      <c r="F17">
        <v>79.495000000000005</v>
      </c>
      <c r="G17">
        <v>5.673</v>
      </c>
      <c r="H17">
        <v>63.152999999999999</v>
      </c>
      <c r="I17">
        <v>60.759</v>
      </c>
      <c r="J17">
        <v>2.0129999999999999</v>
      </c>
      <c r="K17">
        <v>229.846</v>
      </c>
      <c r="L17">
        <v>2.8959999999999999</v>
      </c>
      <c r="M17">
        <v>52.722999999999999</v>
      </c>
      <c r="N17">
        <v>2.9289999999999998</v>
      </c>
      <c r="O17">
        <v>0.872</v>
      </c>
      <c r="P17">
        <v>0</v>
      </c>
      <c r="Q17">
        <v>17.623000000000001</v>
      </c>
      <c r="R17">
        <v>41</v>
      </c>
      <c r="S17">
        <v>3.3</v>
      </c>
    </row>
    <row r="18" spans="1:19" x14ac:dyDescent="0.3">
      <c r="A18" t="s">
        <v>942</v>
      </c>
      <c r="B18">
        <v>175.56299999999999</v>
      </c>
      <c r="C18">
        <v>70.388000000000005</v>
      </c>
      <c r="D18">
        <v>100</v>
      </c>
      <c r="E18">
        <v>0.36299999999999999</v>
      </c>
      <c r="F18">
        <v>80.004000000000005</v>
      </c>
      <c r="G18">
        <v>5.8879999999999999</v>
      </c>
      <c r="H18">
        <v>63.003999999999998</v>
      </c>
      <c r="I18">
        <v>60.768000000000001</v>
      </c>
      <c r="J18">
        <v>2.0089999999999999</v>
      </c>
      <c r="K18">
        <v>229.928</v>
      </c>
      <c r="L18">
        <v>2.8969999999999998</v>
      </c>
      <c r="M18">
        <v>52.695999999999998</v>
      </c>
      <c r="N18">
        <v>2.9279999999999999</v>
      </c>
      <c r="O18">
        <v>0.871</v>
      </c>
      <c r="P18">
        <v>0</v>
      </c>
      <c r="Q18">
        <v>17.631</v>
      </c>
      <c r="R18">
        <v>41</v>
      </c>
      <c r="S18">
        <v>3.3</v>
      </c>
    </row>
    <row r="19" spans="1:19" x14ac:dyDescent="0.3">
      <c r="A19" t="s">
        <v>943</v>
      </c>
      <c r="B19">
        <v>175.53100000000001</v>
      </c>
      <c r="C19">
        <v>70.414000000000001</v>
      </c>
      <c r="D19">
        <v>100</v>
      </c>
      <c r="E19">
        <v>0.36699999999999999</v>
      </c>
      <c r="F19">
        <v>78.820999999999998</v>
      </c>
      <c r="G19">
        <v>5.88</v>
      </c>
      <c r="H19">
        <v>62.905000000000001</v>
      </c>
      <c r="I19">
        <v>60.747</v>
      </c>
      <c r="J19">
        <v>2.012</v>
      </c>
      <c r="K19">
        <v>229.928</v>
      </c>
      <c r="L19">
        <v>2.9020000000000001</v>
      </c>
      <c r="M19">
        <v>52.654000000000003</v>
      </c>
      <c r="N19">
        <v>2.9279999999999999</v>
      </c>
      <c r="O19">
        <v>0.86599999999999999</v>
      </c>
      <c r="P19">
        <v>0</v>
      </c>
      <c r="Q19">
        <v>17.623000000000001</v>
      </c>
      <c r="R19">
        <v>41</v>
      </c>
      <c r="S19">
        <v>3.3</v>
      </c>
    </row>
    <row r="20" spans="1:19" x14ac:dyDescent="0.3">
      <c r="A20" t="s">
        <v>944</v>
      </c>
      <c r="B20">
        <v>175.55</v>
      </c>
      <c r="C20">
        <v>70.388000000000005</v>
      </c>
      <c r="D20">
        <v>100</v>
      </c>
      <c r="E20">
        <v>0.39500000000000002</v>
      </c>
      <c r="F20">
        <v>79.320999999999998</v>
      </c>
      <c r="G20">
        <v>5.4169999999999998</v>
      </c>
      <c r="H20">
        <v>62.953000000000003</v>
      </c>
      <c r="I20">
        <v>61.17</v>
      </c>
      <c r="J20">
        <v>2.008</v>
      </c>
      <c r="K20">
        <v>229.994</v>
      </c>
      <c r="L20">
        <v>2.899</v>
      </c>
      <c r="M20">
        <v>52.715000000000003</v>
      </c>
      <c r="N20">
        <v>2.9260000000000002</v>
      </c>
      <c r="O20">
        <v>0.86399999999999999</v>
      </c>
      <c r="P20">
        <v>0</v>
      </c>
      <c r="Q20">
        <v>17.632999999999999</v>
      </c>
      <c r="R20">
        <v>40.9</v>
      </c>
      <c r="S20">
        <v>3.3</v>
      </c>
    </row>
    <row r="21" spans="1:19" x14ac:dyDescent="0.3">
      <c r="A21" t="s">
        <v>945</v>
      </c>
      <c r="B21">
        <v>175.59800000000001</v>
      </c>
      <c r="C21">
        <v>70.418000000000006</v>
      </c>
      <c r="D21">
        <v>100</v>
      </c>
      <c r="E21">
        <v>0.375</v>
      </c>
      <c r="F21">
        <v>79.909000000000006</v>
      </c>
      <c r="G21">
        <v>5.2690000000000001</v>
      </c>
      <c r="H21">
        <v>62.99</v>
      </c>
      <c r="I21">
        <v>61.396000000000001</v>
      </c>
      <c r="J21">
        <v>1.756</v>
      </c>
      <c r="K21">
        <v>230.059</v>
      </c>
      <c r="L21">
        <v>2.5510000000000002</v>
      </c>
      <c r="M21">
        <v>52.713000000000001</v>
      </c>
      <c r="N21">
        <v>2.5819999999999999</v>
      </c>
      <c r="O21">
        <v>0.89200000000000002</v>
      </c>
      <c r="P21">
        <v>0</v>
      </c>
      <c r="Q21">
        <v>17.620999999999999</v>
      </c>
      <c r="R21">
        <v>41</v>
      </c>
      <c r="S21">
        <v>3.3</v>
      </c>
    </row>
    <row r="22" spans="1:19" x14ac:dyDescent="0.3">
      <c r="A22" t="s">
        <v>946</v>
      </c>
      <c r="B22">
        <v>175.464</v>
      </c>
      <c r="C22">
        <v>70.48</v>
      </c>
      <c r="D22">
        <v>100</v>
      </c>
      <c r="E22">
        <v>0.34200000000000003</v>
      </c>
      <c r="F22">
        <v>80.132000000000005</v>
      </c>
      <c r="G22">
        <v>5.7469999999999999</v>
      </c>
      <c r="H22">
        <v>63.04</v>
      </c>
      <c r="I22">
        <v>61.453000000000003</v>
      </c>
      <c r="J22">
        <v>2.008</v>
      </c>
      <c r="K22">
        <v>229.89500000000001</v>
      </c>
      <c r="L22">
        <v>2.895</v>
      </c>
      <c r="M22">
        <v>52.747</v>
      </c>
      <c r="N22">
        <v>2.9279999999999999</v>
      </c>
      <c r="O22">
        <v>0.86799999999999999</v>
      </c>
      <c r="P22">
        <v>0</v>
      </c>
      <c r="Q22">
        <v>17.632000000000001</v>
      </c>
      <c r="R22">
        <v>40.9</v>
      </c>
      <c r="S22">
        <v>3.3</v>
      </c>
    </row>
    <row r="23" spans="1:19" x14ac:dyDescent="0.3">
      <c r="A23" t="s">
        <v>947</v>
      </c>
      <c r="B23">
        <v>175.43299999999999</v>
      </c>
      <c r="C23">
        <v>70.456999999999994</v>
      </c>
      <c r="D23">
        <v>100</v>
      </c>
      <c r="E23">
        <v>0.38800000000000001</v>
      </c>
      <c r="F23">
        <v>79.899000000000001</v>
      </c>
      <c r="G23">
        <v>5.7210000000000001</v>
      </c>
      <c r="H23">
        <v>62.942</v>
      </c>
      <c r="I23">
        <v>61.523000000000003</v>
      </c>
      <c r="J23">
        <v>2.0129999999999999</v>
      </c>
      <c r="K23">
        <v>230.01</v>
      </c>
      <c r="L23">
        <v>2.9039999999999999</v>
      </c>
      <c r="M23">
        <v>52.792000000000002</v>
      </c>
      <c r="N23">
        <v>2.927</v>
      </c>
      <c r="O23">
        <v>0.85</v>
      </c>
      <c r="P23">
        <v>0</v>
      </c>
      <c r="Q23">
        <v>17.635000000000002</v>
      </c>
      <c r="R23">
        <v>40.9</v>
      </c>
      <c r="S23">
        <v>3.3</v>
      </c>
    </row>
    <row r="24" spans="1:19" x14ac:dyDescent="0.3">
      <c r="A24" t="s">
        <v>948</v>
      </c>
      <c r="B24">
        <v>175.756</v>
      </c>
      <c r="C24">
        <v>70.444000000000003</v>
      </c>
      <c r="D24">
        <v>100</v>
      </c>
      <c r="E24">
        <v>0.38800000000000001</v>
      </c>
      <c r="F24">
        <v>79.090999999999994</v>
      </c>
      <c r="G24">
        <v>5.2990000000000004</v>
      </c>
      <c r="H24">
        <v>62.957999999999998</v>
      </c>
      <c r="I24">
        <v>61.987000000000002</v>
      </c>
      <c r="J24">
        <v>2.0089999999999999</v>
      </c>
      <c r="K24">
        <v>229.81299999999999</v>
      </c>
      <c r="L24">
        <v>2.8940000000000001</v>
      </c>
      <c r="M24">
        <v>52.737000000000002</v>
      </c>
      <c r="N24">
        <v>2.9319999999999999</v>
      </c>
      <c r="O24">
        <v>0.86</v>
      </c>
      <c r="P24">
        <v>0</v>
      </c>
      <c r="Q24">
        <v>17.632999999999999</v>
      </c>
      <c r="R24">
        <v>41</v>
      </c>
      <c r="S24">
        <v>3.3</v>
      </c>
    </row>
    <row r="25" spans="1:19" x14ac:dyDescent="0.3">
      <c r="A25" t="s">
        <v>949</v>
      </c>
      <c r="B25">
        <v>175.65600000000001</v>
      </c>
      <c r="C25">
        <v>70.447000000000003</v>
      </c>
      <c r="D25">
        <v>100</v>
      </c>
      <c r="E25">
        <v>0.38300000000000001</v>
      </c>
      <c r="F25">
        <v>78.873999999999995</v>
      </c>
      <c r="G25">
        <v>5.8419999999999996</v>
      </c>
      <c r="H25">
        <v>62.911999999999999</v>
      </c>
      <c r="I25">
        <v>62.18</v>
      </c>
      <c r="J25">
        <v>2.0129999999999999</v>
      </c>
      <c r="K25">
        <v>230.04300000000001</v>
      </c>
      <c r="L25">
        <v>2.903</v>
      </c>
      <c r="M25">
        <v>52.738999999999997</v>
      </c>
      <c r="N25">
        <v>2.9340000000000002</v>
      </c>
      <c r="O25">
        <v>0.871</v>
      </c>
      <c r="P25">
        <v>0</v>
      </c>
      <c r="Q25">
        <v>17.632999999999999</v>
      </c>
      <c r="R25">
        <v>40.9</v>
      </c>
      <c r="S25">
        <v>3.3</v>
      </c>
    </row>
    <row r="26" spans="1:19" x14ac:dyDescent="0.3">
      <c r="A26" t="s">
        <v>950</v>
      </c>
      <c r="B26">
        <v>175.554</v>
      </c>
      <c r="C26">
        <v>70.453999999999994</v>
      </c>
      <c r="D26">
        <v>100</v>
      </c>
      <c r="E26">
        <v>0.35199999999999998</v>
      </c>
      <c r="F26">
        <v>80.933999999999997</v>
      </c>
      <c r="G26">
        <v>5.8570000000000002</v>
      </c>
      <c r="H26">
        <v>63.110999999999997</v>
      </c>
      <c r="I26">
        <v>62.201000000000001</v>
      </c>
      <c r="J26">
        <v>2.0070000000000001</v>
      </c>
      <c r="K26">
        <v>229.76400000000001</v>
      </c>
      <c r="L26">
        <v>2.895</v>
      </c>
      <c r="M26">
        <v>52.621000000000002</v>
      </c>
      <c r="N26">
        <v>2.9279999999999999</v>
      </c>
      <c r="O26">
        <v>0.84099999999999997</v>
      </c>
      <c r="P26">
        <v>0</v>
      </c>
      <c r="Q26">
        <v>17.638000000000002</v>
      </c>
      <c r="R26">
        <v>40.9</v>
      </c>
      <c r="S26">
        <v>3.3</v>
      </c>
    </row>
    <row r="27" spans="1:19" x14ac:dyDescent="0.3">
      <c r="A27" t="s">
        <v>951</v>
      </c>
      <c r="B27">
        <v>175.53899999999999</v>
      </c>
      <c r="C27">
        <v>70.447000000000003</v>
      </c>
      <c r="D27">
        <v>100</v>
      </c>
      <c r="E27">
        <v>0.39100000000000001</v>
      </c>
      <c r="F27">
        <v>78.992000000000004</v>
      </c>
      <c r="G27">
        <v>5.5119999999999996</v>
      </c>
      <c r="H27">
        <v>62.854999999999997</v>
      </c>
      <c r="I27">
        <v>62.204999999999998</v>
      </c>
      <c r="J27">
        <v>2.012</v>
      </c>
      <c r="K27">
        <v>230.04300000000001</v>
      </c>
      <c r="L27">
        <v>2.9020000000000001</v>
      </c>
      <c r="M27">
        <v>52.755000000000003</v>
      </c>
      <c r="N27">
        <v>2.9239999999999999</v>
      </c>
      <c r="O27">
        <v>0.86899999999999999</v>
      </c>
      <c r="P27">
        <v>0</v>
      </c>
      <c r="Q27">
        <v>17.638999999999999</v>
      </c>
      <c r="R27">
        <v>40.9</v>
      </c>
      <c r="S27">
        <v>3.3</v>
      </c>
    </row>
    <row r="28" spans="1:19" x14ac:dyDescent="0.3">
      <c r="A28" t="s">
        <v>952</v>
      </c>
      <c r="B28">
        <v>175.71700000000001</v>
      </c>
      <c r="C28">
        <v>70.424000000000007</v>
      </c>
      <c r="D28">
        <v>100</v>
      </c>
      <c r="E28">
        <v>0.38300000000000001</v>
      </c>
      <c r="F28">
        <v>78.447000000000003</v>
      </c>
      <c r="G28">
        <v>5.4119999999999999</v>
      </c>
      <c r="H28">
        <v>63.033000000000001</v>
      </c>
      <c r="I28">
        <v>62.491999999999997</v>
      </c>
      <c r="J28">
        <v>2.0059999999999998</v>
      </c>
      <c r="K28">
        <v>229.73099999999999</v>
      </c>
      <c r="L28">
        <v>2.89</v>
      </c>
      <c r="M28">
        <v>52.646000000000001</v>
      </c>
      <c r="N28">
        <v>2.9289999999999998</v>
      </c>
      <c r="O28">
        <v>0.86099999999999999</v>
      </c>
      <c r="P28">
        <v>0</v>
      </c>
      <c r="Q28">
        <v>17.643000000000001</v>
      </c>
      <c r="R28">
        <v>41</v>
      </c>
      <c r="S28">
        <v>3.3</v>
      </c>
    </row>
    <row r="29" spans="1:19" x14ac:dyDescent="0.3">
      <c r="A29" t="s">
        <v>953</v>
      </c>
      <c r="B29">
        <v>175.40700000000001</v>
      </c>
      <c r="C29">
        <v>70.433999999999997</v>
      </c>
      <c r="D29">
        <v>100</v>
      </c>
      <c r="E29">
        <v>0.36299999999999999</v>
      </c>
      <c r="F29">
        <v>79.819999999999993</v>
      </c>
      <c r="G29">
        <v>5.8639999999999999</v>
      </c>
      <c r="H29">
        <v>62.938000000000002</v>
      </c>
      <c r="I29">
        <v>62.750999999999998</v>
      </c>
      <c r="J29">
        <v>2.0129999999999999</v>
      </c>
      <c r="K29">
        <v>230.10900000000001</v>
      </c>
      <c r="L29">
        <v>2.915</v>
      </c>
      <c r="M29">
        <v>52.741</v>
      </c>
      <c r="N29">
        <v>2.9239999999999999</v>
      </c>
      <c r="O29">
        <v>0.86099999999999999</v>
      </c>
      <c r="P29">
        <v>0</v>
      </c>
      <c r="Q29">
        <v>17.646000000000001</v>
      </c>
      <c r="R29">
        <v>41</v>
      </c>
      <c r="S29">
        <v>3.3</v>
      </c>
    </row>
    <row r="30" spans="1:19" x14ac:dyDescent="0.3">
      <c r="A30" t="s">
        <v>954</v>
      </c>
      <c r="B30">
        <v>175.71899999999999</v>
      </c>
      <c r="C30">
        <v>70.433999999999997</v>
      </c>
      <c r="D30">
        <v>100</v>
      </c>
      <c r="E30">
        <v>0.36399999999999999</v>
      </c>
      <c r="F30">
        <v>80.335999999999999</v>
      </c>
      <c r="G30">
        <v>6.2910000000000004</v>
      </c>
      <c r="H30">
        <v>63.078000000000003</v>
      </c>
      <c r="I30">
        <v>62.734999999999999</v>
      </c>
      <c r="J30">
        <v>2.008</v>
      </c>
      <c r="K30">
        <v>229.86199999999999</v>
      </c>
      <c r="L30">
        <v>2.9009999999999998</v>
      </c>
      <c r="M30">
        <v>52.774000000000001</v>
      </c>
      <c r="N30">
        <v>2.9220000000000002</v>
      </c>
      <c r="O30">
        <v>0.86699999999999999</v>
      </c>
      <c r="P30">
        <v>0</v>
      </c>
      <c r="Q30">
        <v>17.632999999999999</v>
      </c>
      <c r="R30">
        <v>40.9</v>
      </c>
      <c r="S30">
        <v>3.3</v>
      </c>
    </row>
    <row r="31" spans="1:19" x14ac:dyDescent="0.3">
      <c r="A31" t="s">
        <v>955</v>
      </c>
      <c r="B31">
        <v>175.886</v>
      </c>
      <c r="C31">
        <v>70.405000000000001</v>
      </c>
      <c r="D31">
        <v>100</v>
      </c>
      <c r="E31">
        <v>0.36899999999999999</v>
      </c>
      <c r="F31">
        <v>80.102000000000004</v>
      </c>
      <c r="G31">
        <v>5.9690000000000003</v>
      </c>
      <c r="H31">
        <v>63.011000000000003</v>
      </c>
      <c r="I31">
        <v>62.656999999999996</v>
      </c>
      <c r="J31">
        <v>2.0110000000000001</v>
      </c>
      <c r="K31">
        <v>230.17400000000001</v>
      </c>
      <c r="L31">
        <v>2.8940000000000001</v>
      </c>
      <c r="M31">
        <v>52.704999999999998</v>
      </c>
      <c r="N31">
        <v>2.9279999999999999</v>
      </c>
      <c r="O31">
        <v>0.90200000000000002</v>
      </c>
      <c r="P31">
        <v>0</v>
      </c>
      <c r="Q31">
        <v>17.64</v>
      </c>
      <c r="R31">
        <v>40.9</v>
      </c>
      <c r="S31">
        <v>3.3</v>
      </c>
    </row>
    <row r="32" spans="1:19" x14ac:dyDescent="0.3">
      <c r="A32" t="s">
        <v>956</v>
      </c>
      <c r="B32">
        <v>175.63800000000001</v>
      </c>
      <c r="C32">
        <v>70.497</v>
      </c>
      <c r="D32">
        <v>100</v>
      </c>
      <c r="E32">
        <v>0.38500000000000001</v>
      </c>
      <c r="F32">
        <v>80.141999999999996</v>
      </c>
      <c r="G32">
        <v>5.9359999999999999</v>
      </c>
      <c r="H32">
        <v>62.777999999999999</v>
      </c>
      <c r="I32">
        <v>63.070999999999998</v>
      </c>
      <c r="J32">
        <v>2.0059999999999998</v>
      </c>
      <c r="K32">
        <v>229.714</v>
      </c>
      <c r="L32">
        <v>2.8940000000000001</v>
      </c>
      <c r="M32">
        <v>52.692</v>
      </c>
      <c r="N32">
        <v>2.927</v>
      </c>
      <c r="O32">
        <v>0.877</v>
      </c>
      <c r="P32">
        <v>0</v>
      </c>
      <c r="Q32">
        <v>17.626000000000001</v>
      </c>
      <c r="R32">
        <v>41</v>
      </c>
      <c r="S32">
        <v>3.3</v>
      </c>
    </row>
    <row r="33" spans="1:19" x14ac:dyDescent="0.3">
      <c r="A33" t="s">
        <v>957</v>
      </c>
      <c r="B33">
        <v>175.55</v>
      </c>
      <c r="C33">
        <v>70.450999999999993</v>
      </c>
      <c r="D33">
        <v>100</v>
      </c>
      <c r="E33">
        <v>0.38500000000000001</v>
      </c>
      <c r="F33">
        <v>79.546999999999997</v>
      </c>
      <c r="G33">
        <v>5.79</v>
      </c>
      <c r="H33">
        <v>62.863</v>
      </c>
      <c r="I33">
        <v>63.215000000000003</v>
      </c>
      <c r="J33">
        <v>2.012</v>
      </c>
      <c r="K33">
        <v>230.02699999999999</v>
      </c>
      <c r="L33">
        <v>2.9009999999999998</v>
      </c>
      <c r="M33">
        <v>52.66</v>
      </c>
      <c r="N33">
        <v>2.9260000000000002</v>
      </c>
      <c r="O33">
        <v>0.85699999999999998</v>
      </c>
      <c r="P33">
        <v>0</v>
      </c>
      <c r="Q33">
        <v>17.641999999999999</v>
      </c>
      <c r="R33">
        <v>41</v>
      </c>
      <c r="S33">
        <v>3.3</v>
      </c>
    </row>
    <row r="34" spans="1:19" x14ac:dyDescent="0.3">
      <c r="A34" t="s">
        <v>958</v>
      </c>
      <c r="B34">
        <v>175.458</v>
      </c>
      <c r="C34">
        <v>70.539000000000001</v>
      </c>
      <c r="D34">
        <v>100</v>
      </c>
      <c r="E34">
        <v>0.36199999999999999</v>
      </c>
      <c r="F34">
        <v>79.045000000000002</v>
      </c>
      <c r="G34">
        <v>5.726</v>
      </c>
      <c r="H34">
        <v>62.829000000000001</v>
      </c>
      <c r="I34">
        <v>63.149000000000001</v>
      </c>
      <c r="J34">
        <v>2.008</v>
      </c>
      <c r="K34">
        <v>229.68199999999999</v>
      </c>
      <c r="L34">
        <v>2.8969999999999998</v>
      </c>
      <c r="M34">
        <v>52.768999999999998</v>
      </c>
      <c r="N34">
        <v>2.927</v>
      </c>
      <c r="O34">
        <v>0.86099999999999999</v>
      </c>
      <c r="P34">
        <v>0</v>
      </c>
      <c r="Q34">
        <v>17.641999999999999</v>
      </c>
      <c r="R34">
        <v>40.9</v>
      </c>
      <c r="S34">
        <v>3.3</v>
      </c>
    </row>
    <row r="35" spans="1:19" ht="15" thickBot="1" x14ac:dyDescent="0.35">
      <c r="A35" t="s">
        <v>959</v>
      </c>
      <c r="B35">
        <v>175.63300000000001</v>
      </c>
      <c r="C35">
        <v>70.489999999999995</v>
      </c>
      <c r="D35">
        <v>100</v>
      </c>
      <c r="E35">
        <v>0.374</v>
      </c>
      <c r="F35">
        <v>79.566999999999993</v>
      </c>
      <c r="G35">
        <v>5.8869999999999996</v>
      </c>
      <c r="H35">
        <v>63.052999999999997</v>
      </c>
      <c r="I35">
        <v>63.222999999999999</v>
      </c>
      <c r="J35">
        <v>2.012</v>
      </c>
      <c r="K35">
        <v>230.09200000000001</v>
      </c>
      <c r="L35">
        <v>2.9</v>
      </c>
      <c r="M35">
        <v>52.673999999999999</v>
      </c>
      <c r="N35">
        <v>2.9279999999999999</v>
      </c>
      <c r="O35">
        <v>0.86899999999999999</v>
      </c>
      <c r="P35">
        <v>0</v>
      </c>
      <c r="Q35">
        <v>17.628</v>
      </c>
      <c r="R35">
        <v>40.9</v>
      </c>
      <c r="S35">
        <v>3.3</v>
      </c>
    </row>
    <row r="36" spans="1:19" ht="15" thickBot="1" x14ac:dyDescent="0.35">
      <c r="A36" t="s">
        <v>30</v>
      </c>
      <c r="B36" s="1">
        <f>AVERAGE(B6:B35)</f>
        <v>175.64826666666664</v>
      </c>
      <c r="C36" s="1">
        <f>AVERAGE(C6:C35)</f>
        <v>70.429933333333324</v>
      </c>
      <c r="D36" s="1">
        <f t="shared" ref="D36:S36" si="0">AVERAGE(D6:D35)</f>
        <v>100</v>
      </c>
      <c r="E36" s="10">
        <f t="shared" si="0"/>
        <v>0.37880000000000003</v>
      </c>
      <c r="F36" s="1">
        <f t="shared" si="0"/>
        <v>79.607833333333303</v>
      </c>
      <c r="G36" s="1">
        <f t="shared" si="0"/>
        <v>5.7003333333333339</v>
      </c>
      <c r="H36" s="10">
        <f t="shared" si="0"/>
        <v>62.983533333333341</v>
      </c>
      <c r="I36" s="1">
        <f t="shared" si="0"/>
        <v>61.006699999999988</v>
      </c>
      <c r="J36" s="8">
        <f t="shared" si="0"/>
        <v>2.0017666666666667</v>
      </c>
      <c r="K36" s="1">
        <f t="shared" si="0"/>
        <v>229.9433333333333</v>
      </c>
      <c r="L36" s="1">
        <f t="shared" si="0"/>
        <v>2.9026666666666676</v>
      </c>
      <c r="M36" s="1">
        <f t="shared" si="0"/>
        <v>52.711500000000008</v>
      </c>
      <c r="N36" s="1">
        <f t="shared" si="0"/>
        <v>2.9145333333333334</v>
      </c>
      <c r="O36" s="1">
        <f t="shared" si="0"/>
        <v>0.86966666666666681</v>
      </c>
      <c r="P36" s="1">
        <f t="shared" si="0"/>
        <v>0</v>
      </c>
      <c r="Q36" s="1">
        <f t="shared" si="0"/>
        <v>17.617966666666664</v>
      </c>
      <c r="R36" s="1">
        <f t="shared" si="0"/>
        <v>40.960000000000008</v>
      </c>
      <c r="S36" s="1">
        <f t="shared" si="0"/>
        <v>3.299999999999998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B9E1-E144-4F10-8F36-7679E4BCE57A}">
  <dimension ref="A1:U36"/>
  <sheetViews>
    <sheetView zoomScale="85" zoomScaleNormal="85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0.61710648148148151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1.8910171025889513</v>
      </c>
      <c r="M2" s="8">
        <f>100*(R36/(R36+Q36))</f>
        <v>70.197862731846072</v>
      </c>
      <c r="O2" s="9">
        <f>100*((E36*C2)/((E36*C2)+(K2*E2)))</f>
        <v>14.097206934289211</v>
      </c>
      <c r="Q2" s="10">
        <f>100*J36*(1/(((C2/3.6)*E36)+((E2/3.6)*K2)))</f>
        <v>6.573815212175445</v>
      </c>
      <c r="S2" s="6">
        <v>3.54</v>
      </c>
      <c r="U2" s="10">
        <f>100*((((G36*0.001*60)*(C36-D36)*(S2/3.6)))/(((C2/3.6)*E36)+((E2/3.6)*K2)))</f>
        <v>-30.556517257106453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990</v>
      </c>
      <c r="B6">
        <v>171.55099999999999</v>
      </c>
      <c r="C6">
        <v>70.397999999999996</v>
      </c>
      <c r="D6">
        <v>100</v>
      </c>
      <c r="E6">
        <v>0.36299999999999999</v>
      </c>
      <c r="F6">
        <v>79.343999999999994</v>
      </c>
      <c r="G6">
        <v>5.4450000000000003</v>
      </c>
      <c r="H6">
        <v>62.866999999999997</v>
      </c>
      <c r="I6">
        <v>70.873999999999995</v>
      </c>
      <c r="J6">
        <v>2.012</v>
      </c>
      <c r="K6">
        <v>230.10900000000001</v>
      </c>
      <c r="L6">
        <v>2.9020000000000001</v>
      </c>
      <c r="M6">
        <v>52.822000000000003</v>
      </c>
      <c r="N6">
        <v>2.9279999999999999</v>
      </c>
      <c r="O6">
        <v>0.875</v>
      </c>
      <c r="P6">
        <v>0</v>
      </c>
      <c r="Q6">
        <v>17.579000000000001</v>
      </c>
      <c r="R6">
        <v>41.4</v>
      </c>
      <c r="S6">
        <v>9.1</v>
      </c>
    </row>
    <row r="7" spans="1:21" x14ac:dyDescent="0.3">
      <c r="A7" t="s">
        <v>991</v>
      </c>
      <c r="B7">
        <v>171.625</v>
      </c>
      <c r="C7">
        <v>70.444000000000003</v>
      </c>
      <c r="D7">
        <v>100</v>
      </c>
      <c r="E7">
        <v>0.38</v>
      </c>
      <c r="F7">
        <v>80.617999999999995</v>
      </c>
      <c r="G7">
        <v>5.4450000000000003</v>
      </c>
      <c r="H7">
        <v>62.987000000000002</v>
      </c>
      <c r="I7">
        <v>71.111999999999995</v>
      </c>
      <c r="J7">
        <v>2.0110000000000001</v>
      </c>
      <c r="K7">
        <v>229.76400000000001</v>
      </c>
      <c r="L7">
        <v>2.8980000000000001</v>
      </c>
      <c r="M7">
        <v>52.741</v>
      </c>
      <c r="N7">
        <v>2.923</v>
      </c>
      <c r="O7">
        <v>0.873</v>
      </c>
      <c r="P7">
        <v>0</v>
      </c>
      <c r="Q7">
        <v>17.559999999999999</v>
      </c>
      <c r="R7">
        <v>41.4</v>
      </c>
      <c r="S7">
        <v>9.1</v>
      </c>
    </row>
    <row r="8" spans="1:21" x14ac:dyDescent="0.3">
      <c r="A8" t="s">
        <v>992</v>
      </c>
      <c r="B8">
        <v>172.08099999999999</v>
      </c>
      <c r="C8">
        <v>70.361999999999995</v>
      </c>
      <c r="D8">
        <v>100</v>
      </c>
      <c r="E8">
        <v>0.376</v>
      </c>
      <c r="F8">
        <v>79.902000000000001</v>
      </c>
      <c r="G8">
        <v>5.3410000000000002</v>
      </c>
      <c r="H8">
        <v>63.006</v>
      </c>
      <c r="I8">
        <v>70.754999999999995</v>
      </c>
      <c r="J8">
        <v>2.0110000000000001</v>
      </c>
      <c r="K8">
        <v>230.125</v>
      </c>
      <c r="L8">
        <v>2.9039999999999999</v>
      </c>
      <c r="M8">
        <v>52.79</v>
      </c>
      <c r="N8">
        <v>2.931</v>
      </c>
      <c r="O8">
        <v>0.877</v>
      </c>
      <c r="P8">
        <v>0</v>
      </c>
      <c r="Q8">
        <v>17.599</v>
      </c>
      <c r="R8">
        <v>41.4</v>
      </c>
      <c r="S8">
        <v>9.1</v>
      </c>
    </row>
    <row r="9" spans="1:21" x14ac:dyDescent="0.3">
      <c r="A9" t="s">
        <v>993</v>
      </c>
      <c r="B9">
        <v>171.64599999999999</v>
      </c>
      <c r="C9">
        <v>70.433999999999997</v>
      </c>
      <c r="D9">
        <v>100</v>
      </c>
      <c r="E9">
        <v>0.36599999999999999</v>
      </c>
      <c r="F9">
        <v>80.497</v>
      </c>
      <c r="G9">
        <v>5.149</v>
      </c>
      <c r="H9">
        <v>62.929000000000002</v>
      </c>
      <c r="I9">
        <v>71.141000000000005</v>
      </c>
      <c r="J9">
        <v>2.0129999999999999</v>
      </c>
      <c r="K9">
        <v>229.928</v>
      </c>
      <c r="L9">
        <v>2.903</v>
      </c>
      <c r="M9">
        <v>52.734999999999999</v>
      </c>
      <c r="N9">
        <v>2.927</v>
      </c>
      <c r="O9">
        <v>0.85799999999999998</v>
      </c>
      <c r="P9">
        <v>0</v>
      </c>
      <c r="Q9">
        <v>17.584</v>
      </c>
      <c r="R9">
        <v>41.4</v>
      </c>
      <c r="S9">
        <v>9.1</v>
      </c>
    </row>
    <row r="10" spans="1:21" x14ac:dyDescent="0.3">
      <c r="A10" t="s">
        <v>994</v>
      </c>
      <c r="B10">
        <v>171.93600000000001</v>
      </c>
      <c r="C10">
        <v>70.430999999999997</v>
      </c>
      <c r="D10">
        <v>100</v>
      </c>
      <c r="E10">
        <v>0.38600000000000001</v>
      </c>
      <c r="F10">
        <v>80.119</v>
      </c>
      <c r="G10">
        <v>5.2670000000000003</v>
      </c>
      <c r="H10">
        <v>62.725000000000001</v>
      </c>
      <c r="I10">
        <v>70.783000000000001</v>
      </c>
      <c r="J10">
        <v>2.0099999999999998</v>
      </c>
      <c r="K10">
        <v>229.977</v>
      </c>
      <c r="L10">
        <v>2.9020000000000001</v>
      </c>
      <c r="M10">
        <v>52.793999999999997</v>
      </c>
      <c r="N10">
        <v>2.9329999999999998</v>
      </c>
      <c r="O10">
        <v>0.85399999999999998</v>
      </c>
      <c r="P10">
        <v>0</v>
      </c>
      <c r="Q10">
        <v>17.597999999999999</v>
      </c>
      <c r="R10">
        <v>41.4</v>
      </c>
      <c r="S10">
        <v>9.1</v>
      </c>
    </row>
    <row r="11" spans="1:21" x14ac:dyDescent="0.3">
      <c r="A11" t="s">
        <v>995</v>
      </c>
      <c r="B11">
        <v>171.744</v>
      </c>
      <c r="C11">
        <v>70.427999999999997</v>
      </c>
      <c r="D11">
        <v>100</v>
      </c>
      <c r="E11">
        <v>0.38500000000000001</v>
      </c>
      <c r="F11">
        <v>78.492999999999995</v>
      </c>
      <c r="G11">
        <v>5.2409999999999997</v>
      </c>
      <c r="H11">
        <v>62.978999999999999</v>
      </c>
      <c r="I11">
        <v>71.153000000000006</v>
      </c>
      <c r="J11">
        <v>2.012</v>
      </c>
      <c r="K11">
        <v>229.86199999999999</v>
      </c>
      <c r="L11">
        <v>2.9039999999999999</v>
      </c>
      <c r="M11">
        <v>52.777999999999999</v>
      </c>
      <c r="N11">
        <v>2.9279999999999999</v>
      </c>
      <c r="O11">
        <v>0.86199999999999999</v>
      </c>
      <c r="P11">
        <v>0</v>
      </c>
      <c r="Q11">
        <v>17.579000000000001</v>
      </c>
      <c r="R11">
        <v>41.4</v>
      </c>
      <c r="S11">
        <v>9.1</v>
      </c>
    </row>
    <row r="12" spans="1:21" x14ac:dyDescent="0.3">
      <c r="A12" t="s">
        <v>996</v>
      </c>
      <c r="B12">
        <v>171.714</v>
      </c>
      <c r="C12">
        <v>70.444000000000003</v>
      </c>
      <c r="D12">
        <v>100</v>
      </c>
      <c r="E12">
        <v>0.374</v>
      </c>
      <c r="F12">
        <v>80.257000000000005</v>
      </c>
      <c r="G12">
        <v>5.5830000000000002</v>
      </c>
      <c r="H12">
        <v>63.076000000000001</v>
      </c>
      <c r="I12">
        <v>70.980999999999995</v>
      </c>
      <c r="J12">
        <v>2.0089999999999999</v>
      </c>
      <c r="K12">
        <v>229.82900000000001</v>
      </c>
      <c r="L12">
        <v>2.8940000000000001</v>
      </c>
      <c r="M12">
        <v>52.767000000000003</v>
      </c>
      <c r="N12">
        <v>2.9279999999999999</v>
      </c>
      <c r="O12">
        <v>0.86499999999999999</v>
      </c>
      <c r="P12">
        <v>0</v>
      </c>
      <c r="Q12">
        <v>17.584</v>
      </c>
      <c r="R12">
        <v>41.4</v>
      </c>
      <c r="S12">
        <v>9.1</v>
      </c>
    </row>
    <row r="13" spans="1:21" x14ac:dyDescent="0.3">
      <c r="A13" t="s">
        <v>997</v>
      </c>
      <c r="B13">
        <v>171.31700000000001</v>
      </c>
      <c r="C13">
        <v>70.459999999999994</v>
      </c>
      <c r="D13">
        <v>100</v>
      </c>
      <c r="E13">
        <v>0.35899999999999999</v>
      </c>
      <c r="F13">
        <v>80.174999999999997</v>
      </c>
      <c r="G13">
        <v>5.4989999999999997</v>
      </c>
      <c r="H13">
        <v>62.98</v>
      </c>
      <c r="I13">
        <v>71.177999999999997</v>
      </c>
      <c r="J13">
        <v>2.0139999999999998</v>
      </c>
      <c r="K13">
        <v>230.09200000000001</v>
      </c>
      <c r="L13">
        <v>2.8980000000000001</v>
      </c>
      <c r="M13">
        <v>52.887</v>
      </c>
      <c r="N13">
        <v>2.9319999999999999</v>
      </c>
      <c r="O13">
        <v>0.85399999999999998</v>
      </c>
      <c r="P13">
        <v>0</v>
      </c>
      <c r="Q13">
        <v>17.594000000000001</v>
      </c>
      <c r="R13">
        <v>41.4</v>
      </c>
      <c r="S13">
        <v>9.1</v>
      </c>
    </row>
    <row r="14" spans="1:21" x14ac:dyDescent="0.3">
      <c r="A14" t="s">
        <v>998</v>
      </c>
      <c r="B14">
        <v>171.494</v>
      </c>
      <c r="C14">
        <v>70.338999999999999</v>
      </c>
      <c r="D14">
        <v>100</v>
      </c>
      <c r="E14">
        <v>0.34699999999999998</v>
      </c>
      <c r="F14">
        <v>79.153000000000006</v>
      </c>
      <c r="G14">
        <v>5.1639999999999997</v>
      </c>
      <c r="H14">
        <v>62.808999999999997</v>
      </c>
      <c r="I14">
        <v>70.87</v>
      </c>
      <c r="J14">
        <v>2.008</v>
      </c>
      <c r="K14">
        <v>229.649</v>
      </c>
      <c r="L14">
        <v>2.8940000000000001</v>
      </c>
      <c r="M14">
        <v>52.701999999999998</v>
      </c>
      <c r="N14">
        <v>2.9239999999999999</v>
      </c>
      <c r="O14">
        <v>0.86299999999999999</v>
      </c>
      <c r="P14">
        <v>0</v>
      </c>
      <c r="Q14">
        <v>17.588999999999999</v>
      </c>
      <c r="R14">
        <v>41.4</v>
      </c>
      <c r="S14">
        <v>9.1</v>
      </c>
    </row>
    <row r="15" spans="1:21" x14ac:dyDescent="0.3">
      <c r="A15" t="s">
        <v>999</v>
      </c>
      <c r="B15">
        <v>171.58</v>
      </c>
      <c r="C15">
        <v>70.385000000000005</v>
      </c>
      <c r="D15">
        <v>100</v>
      </c>
      <c r="E15">
        <v>0.34300000000000003</v>
      </c>
      <c r="F15">
        <v>79.947999999999993</v>
      </c>
      <c r="G15">
        <v>5.5730000000000004</v>
      </c>
      <c r="H15">
        <v>62.936999999999998</v>
      </c>
      <c r="I15">
        <v>72.566000000000003</v>
      </c>
      <c r="J15">
        <v>2.0129999999999999</v>
      </c>
      <c r="K15">
        <v>229.994</v>
      </c>
      <c r="L15">
        <v>2.9060000000000001</v>
      </c>
      <c r="M15">
        <v>52.798000000000002</v>
      </c>
      <c r="N15">
        <v>2.9289999999999998</v>
      </c>
      <c r="O15">
        <v>0.87</v>
      </c>
      <c r="P15">
        <v>0</v>
      </c>
      <c r="Q15">
        <v>17.594999999999999</v>
      </c>
      <c r="R15">
        <v>41.4</v>
      </c>
      <c r="S15">
        <v>9.1</v>
      </c>
    </row>
    <row r="16" spans="1:21" x14ac:dyDescent="0.3">
      <c r="A16" t="s">
        <v>1000</v>
      </c>
      <c r="B16">
        <v>171.679</v>
      </c>
      <c r="C16">
        <v>70.394999999999996</v>
      </c>
      <c r="D16">
        <v>100</v>
      </c>
      <c r="E16">
        <v>0.35</v>
      </c>
      <c r="F16">
        <v>80.082999999999998</v>
      </c>
      <c r="G16">
        <v>5.47</v>
      </c>
      <c r="H16">
        <v>62.951000000000001</v>
      </c>
      <c r="I16">
        <v>70.938999999999993</v>
      </c>
      <c r="J16">
        <v>2.0089999999999999</v>
      </c>
      <c r="K16">
        <v>229.73099999999999</v>
      </c>
      <c r="L16">
        <v>2.9540000000000002</v>
      </c>
      <c r="M16">
        <v>52.781999999999996</v>
      </c>
      <c r="N16">
        <v>2.9289999999999998</v>
      </c>
      <c r="O16">
        <v>0.86799999999999999</v>
      </c>
      <c r="P16">
        <v>0</v>
      </c>
      <c r="Q16">
        <v>17.588000000000001</v>
      </c>
      <c r="R16">
        <v>41.4</v>
      </c>
      <c r="S16">
        <v>9.1</v>
      </c>
    </row>
    <row r="17" spans="1:19" x14ac:dyDescent="0.3">
      <c r="A17" t="s">
        <v>1001</v>
      </c>
      <c r="B17">
        <v>171.691</v>
      </c>
      <c r="C17">
        <v>70.453999999999994</v>
      </c>
      <c r="D17">
        <v>100</v>
      </c>
      <c r="E17">
        <v>0.34399999999999997</v>
      </c>
      <c r="F17">
        <v>79.846000000000004</v>
      </c>
      <c r="G17">
        <v>5.5549999999999997</v>
      </c>
      <c r="H17">
        <v>63.045000000000002</v>
      </c>
      <c r="I17">
        <v>71.128</v>
      </c>
      <c r="J17">
        <v>2.0129999999999999</v>
      </c>
      <c r="K17">
        <v>230.09200000000001</v>
      </c>
      <c r="L17">
        <v>3.0139999999999998</v>
      </c>
      <c r="M17">
        <v>52.814</v>
      </c>
      <c r="N17">
        <v>2.9319999999999999</v>
      </c>
      <c r="O17">
        <v>0.86099999999999999</v>
      </c>
      <c r="P17">
        <v>0</v>
      </c>
      <c r="Q17">
        <v>17.588000000000001</v>
      </c>
      <c r="R17">
        <v>41.4</v>
      </c>
      <c r="S17">
        <v>9.1</v>
      </c>
    </row>
    <row r="18" spans="1:19" x14ac:dyDescent="0.3">
      <c r="A18" t="s">
        <v>1002</v>
      </c>
      <c r="B18">
        <v>171.34</v>
      </c>
      <c r="C18">
        <v>70.456999999999994</v>
      </c>
      <c r="D18">
        <v>100</v>
      </c>
      <c r="E18">
        <v>0.37</v>
      </c>
      <c r="F18">
        <v>79.165999999999997</v>
      </c>
      <c r="G18">
        <v>5.1840000000000002</v>
      </c>
      <c r="H18">
        <v>63.000999999999998</v>
      </c>
      <c r="I18">
        <v>70.984999999999999</v>
      </c>
      <c r="J18">
        <v>2.0099999999999998</v>
      </c>
      <c r="K18">
        <v>229.59899999999999</v>
      </c>
      <c r="L18">
        <v>2.722</v>
      </c>
      <c r="M18">
        <v>52.915999999999997</v>
      </c>
      <c r="N18">
        <v>2.9279999999999999</v>
      </c>
      <c r="O18">
        <v>0.89500000000000002</v>
      </c>
      <c r="P18">
        <v>0</v>
      </c>
      <c r="Q18">
        <v>17.597999999999999</v>
      </c>
      <c r="R18">
        <v>41.4</v>
      </c>
      <c r="S18">
        <v>9.1</v>
      </c>
    </row>
    <row r="19" spans="1:19" x14ac:dyDescent="0.3">
      <c r="A19" t="s">
        <v>1003</v>
      </c>
      <c r="B19">
        <v>171.827</v>
      </c>
      <c r="C19">
        <v>70.444000000000003</v>
      </c>
      <c r="D19">
        <v>100</v>
      </c>
      <c r="E19">
        <v>0.35799999999999998</v>
      </c>
      <c r="F19">
        <v>79.39</v>
      </c>
      <c r="G19">
        <v>5.12</v>
      </c>
      <c r="H19">
        <v>62.823999999999998</v>
      </c>
      <c r="I19">
        <v>71.305000000000007</v>
      </c>
      <c r="J19">
        <v>2.0139999999999998</v>
      </c>
      <c r="K19">
        <v>229.977</v>
      </c>
      <c r="L19">
        <v>2.76</v>
      </c>
      <c r="M19">
        <v>52.771999999999998</v>
      </c>
      <c r="N19">
        <v>2.9319999999999999</v>
      </c>
      <c r="O19">
        <v>0.86899999999999999</v>
      </c>
      <c r="P19">
        <v>0</v>
      </c>
      <c r="Q19">
        <v>17.577999999999999</v>
      </c>
      <c r="R19">
        <v>41.3</v>
      </c>
      <c r="S19">
        <v>9.1</v>
      </c>
    </row>
    <row r="20" spans="1:19" x14ac:dyDescent="0.3">
      <c r="A20" t="s">
        <v>1004</v>
      </c>
      <c r="B20">
        <v>171.75399999999999</v>
      </c>
      <c r="C20">
        <v>70.418000000000006</v>
      </c>
      <c r="D20">
        <v>100</v>
      </c>
      <c r="E20">
        <v>0.35799999999999998</v>
      </c>
      <c r="F20">
        <v>79.426000000000002</v>
      </c>
      <c r="G20">
        <v>5.3780000000000001</v>
      </c>
      <c r="H20">
        <v>62.832000000000001</v>
      </c>
      <c r="I20">
        <v>71.251999999999995</v>
      </c>
      <c r="J20">
        <v>2.0089999999999999</v>
      </c>
      <c r="K20">
        <v>229.73099999999999</v>
      </c>
      <c r="L20">
        <v>2.98</v>
      </c>
      <c r="M20">
        <v>52.850999999999999</v>
      </c>
      <c r="N20">
        <v>2.9420000000000002</v>
      </c>
      <c r="O20">
        <v>0.85399999999999998</v>
      </c>
      <c r="P20">
        <v>0</v>
      </c>
      <c r="Q20">
        <v>17.576000000000001</v>
      </c>
      <c r="R20">
        <v>41.4</v>
      </c>
      <c r="S20">
        <v>9.1</v>
      </c>
    </row>
    <row r="21" spans="1:19" x14ac:dyDescent="0.3">
      <c r="A21" t="s">
        <v>1005</v>
      </c>
      <c r="B21">
        <v>171.82</v>
      </c>
      <c r="C21">
        <v>70.424000000000007</v>
      </c>
      <c r="D21">
        <v>100</v>
      </c>
      <c r="E21">
        <v>0.34899999999999998</v>
      </c>
      <c r="F21">
        <v>80.004000000000005</v>
      </c>
      <c r="G21">
        <v>5.0750000000000002</v>
      </c>
      <c r="H21">
        <v>62.835000000000001</v>
      </c>
      <c r="I21">
        <v>71.465000000000003</v>
      </c>
      <c r="J21">
        <v>2.0110000000000001</v>
      </c>
      <c r="K21">
        <v>229.91200000000001</v>
      </c>
      <c r="L21">
        <v>2.8420000000000001</v>
      </c>
      <c r="M21">
        <v>52.725000000000001</v>
      </c>
      <c r="N21">
        <v>2.931</v>
      </c>
      <c r="O21">
        <v>0.85599999999999998</v>
      </c>
      <c r="P21">
        <v>0</v>
      </c>
      <c r="Q21">
        <v>17.571000000000002</v>
      </c>
      <c r="R21">
        <v>41.4</v>
      </c>
      <c r="S21">
        <v>9.1</v>
      </c>
    </row>
    <row r="22" spans="1:19" x14ac:dyDescent="0.3">
      <c r="A22" t="s">
        <v>1006</v>
      </c>
      <c r="B22">
        <v>171.85499999999999</v>
      </c>
      <c r="C22">
        <v>70.424000000000007</v>
      </c>
      <c r="D22">
        <v>100</v>
      </c>
      <c r="E22">
        <v>0.374</v>
      </c>
      <c r="F22">
        <v>78.174000000000007</v>
      </c>
      <c r="G22">
        <v>5.2229999999999999</v>
      </c>
      <c r="H22">
        <v>62.808</v>
      </c>
      <c r="I22">
        <v>71.301000000000002</v>
      </c>
      <c r="J22">
        <v>2.0089999999999999</v>
      </c>
      <c r="K22">
        <v>229.73099999999999</v>
      </c>
      <c r="L22">
        <v>2.9580000000000002</v>
      </c>
      <c r="M22">
        <v>52.893000000000001</v>
      </c>
      <c r="N22">
        <v>2.93</v>
      </c>
      <c r="O22">
        <v>0.88100000000000001</v>
      </c>
      <c r="P22">
        <v>0</v>
      </c>
      <c r="Q22">
        <v>17.574999999999999</v>
      </c>
      <c r="R22">
        <v>41.4</v>
      </c>
      <c r="S22">
        <v>9.1</v>
      </c>
    </row>
    <row r="23" spans="1:19" x14ac:dyDescent="0.3">
      <c r="A23" t="s">
        <v>1007</v>
      </c>
      <c r="B23">
        <v>171.745</v>
      </c>
      <c r="C23">
        <v>70.441000000000003</v>
      </c>
      <c r="D23">
        <v>100</v>
      </c>
      <c r="E23">
        <v>0.34699999999999998</v>
      </c>
      <c r="F23">
        <v>80.085999999999999</v>
      </c>
      <c r="G23">
        <v>5.5090000000000003</v>
      </c>
      <c r="H23">
        <v>62.695999999999998</v>
      </c>
      <c r="I23">
        <v>71.078999999999994</v>
      </c>
      <c r="J23">
        <v>2.0129999999999999</v>
      </c>
      <c r="K23">
        <v>230.059</v>
      </c>
      <c r="L23">
        <v>2.9870000000000001</v>
      </c>
      <c r="M23">
        <v>52.795999999999999</v>
      </c>
      <c r="N23">
        <v>2.9319999999999999</v>
      </c>
      <c r="O23">
        <v>0.872</v>
      </c>
      <c r="P23">
        <v>0</v>
      </c>
      <c r="Q23">
        <v>17.571999999999999</v>
      </c>
      <c r="R23">
        <v>41.3</v>
      </c>
      <c r="S23">
        <v>9.1</v>
      </c>
    </row>
    <row r="24" spans="1:19" x14ac:dyDescent="0.3">
      <c r="A24" t="s">
        <v>1008</v>
      </c>
      <c r="B24">
        <v>172.202</v>
      </c>
      <c r="C24">
        <v>70.513000000000005</v>
      </c>
      <c r="D24">
        <v>100</v>
      </c>
      <c r="E24">
        <v>0.375</v>
      </c>
      <c r="F24">
        <v>79.376000000000005</v>
      </c>
      <c r="G24">
        <v>5.0229999999999997</v>
      </c>
      <c r="H24">
        <v>62.801000000000002</v>
      </c>
      <c r="I24">
        <v>71.415999999999997</v>
      </c>
      <c r="J24">
        <v>2.0099999999999998</v>
      </c>
      <c r="K24">
        <v>229.73099999999999</v>
      </c>
      <c r="L24">
        <v>3.0030000000000001</v>
      </c>
      <c r="M24">
        <v>52.834000000000003</v>
      </c>
      <c r="N24">
        <v>2.93</v>
      </c>
      <c r="O24">
        <v>0.86699999999999999</v>
      </c>
      <c r="P24">
        <v>0</v>
      </c>
      <c r="Q24">
        <v>17.562000000000001</v>
      </c>
      <c r="R24">
        <v>41.3</v>
      </c>
      <c r="S24">
        <v>9.1</v>
      </c>
    </row>
    <row r="25" spans="1:19" x14ac:dyDescent="0.3">
      <c r="A25" t="s">
        <v>1009</v>
      </c>
      <c r="B25">
        <v>171.684</v>
      </c>
      <c r="C25">
        <v>70.543000000000006</v>
      </c>
      <c r="D25">
        <v>100</v>
      </c>
      <c r="E25">
        <v>0.38</v>
      </c>
      <c r="F25">
        <v>79.734999999999999</v>
      </c>
      <c r="G25">
        <v>5.593</v>
      </c>
      <c r="H25">
        <v>62.648000000000003</v>
      </c>
      <c r="I25">
        <v>71.137</v>
      </c>
      <c r="J25">
        <v>2.0139999999999998</v>
      </c>
      <c r="K25">
        <v>230.10900000000001</v>
      </c>
      <c r="L25">
        <v>3.0139999999999998</v>
      </c>
      <c r="M25">
        <v>52.844999999999999</v>
      </c>
      <c r="N25">
        <v>2.9279999999999999</v>
      </c>
      <c r="O25">
        <v>0.85</v>
      </c>
      <c r="P25">
        <v>0</v>
      </c>
      <c r="Q25">
        <v>17.565000000000001</v>
      </c>
      <c r="R25">
        <v>41.3</v>
      </c>
      <c r="S25">
        <v>9.1</v>
      </c>
    </row>
    <row r="26" spans="1:19" x14ac:dyDescent="0.3">
      <c r="A26" t="s">
        <v>1010</v>
      </c>
      <c r="B26">
        <v>171.96199999999999</v>
      </c>
      <c r="C26">
        <v>70.456999999999994</v>
      </c>
      <c r="D26">
        <v>100</v>
      </c>
      <c r="E26">
        <v>0.36299999999999999</v>
      </c>
      <c r="F26">
        <v>79.950999999999993</v>
      </c>
      <c r="G26">
        <v>5.6189999999999998</v>
      </c>
      <c r="H26">
        <v>62.771000000000001</v>
      </c>
      <c r="I26">
        <v>71.56</v>
      </c>
      <c r="J26">
        <v>2.008</v>
      </c>
      <c r="K26">
        <v>229.68199999999999</v>
      </c>
      <c r="L26">
        <v>3.0049999999999999</v>
      </c>
      <c r="M26">
        <v>52.859000000000002</v>
      </c>
      <c r="N26">
        <v>2.9319999999999999</v>
      </c>
      <c r="O26">
        <v>0.86399999999999999</v>
      </c>
      <c r="P26">
        <v>0</v>
      </c>
      <c r="Q26">
        <v>17.562000000000001</v>
      </c>
      <c r="R26">
        <v>41.3</v>
      </c>
      <c r="S26">
        <v>9.1</v>
      </c>
    </row>
    <row r="27" spans="1:19" x14ac:dyDescent="0.3">
      <c r="A27" t="s">
        <v>1011</v>
      </c>
      <c r="B27">
        <v>171.80199999999999</v>
      </c>
      <c r="C27">
        <v>70.52</v>
      </c>
      <c r="D27">
        <v>100</v>
      </c>
      <c r="E27">
        <v>0.36</v>
      </c>
      <c r="F27">
        <v>79.132999999999996</v>
      </c>
      <c r="G27">
        <v>5.4240000000000004</v>
      </c>
      <c r="H27">
        <v>62.808999999999997</v>
      </c>
      <c r="I27">
        <v>71.353999999999999</v>
      </c>
      <c r="J27">
        <v>2.012</v>
      </c>
      <c r="K27">
        <v>229.91200000000001</v>
      </c>
      <c r="L27">
        <v>2.798</v>
      </c>
      <c r="M27">
        <v>52.850999999999999</v>
      </c>
      <c r="N27">
        <v>2.9249999999999998</v>
      </c>
      <c r="O27">
        <v>0.85899999999999999</v>
      </c>
      <c r="P27">
        <v>0</v>
      </c>
      <c r="Q27">
        <v>17.548999999999999</v>
      </c>
      <c r="R27">
        <v>41.4</v>
      </c>
      <c r="S27">
        <v>9.1</v>
      </c>
    </row>
    <row r="28" spans="1:19" x14ac:dyDescent="0.3">
      <c r="A28" t="s">
        <v>1012</v>
      </c>
      <c r="B28">
        <v>172.26599999999999</v>
      </c>
      <c r="C28">
        <v>70.474000000000004</v>
      </c>
      <c r="D28">
        <v>100</v>
      </c>
      <c r="E28">
        <v>0.36199999999999999</v>
      </c>
      <c r="F28">
        <v>79.652000000000001</v>
      </c>
      <c r="G28">
        <v>5.1719999999999997</v>
      </c>
      <c r="H28">
        <v>62.994999999999997</v>
      </c>
      <c r="I28">
        <v>71.567999999999998</v>
      </c>
      <c r="J28">
        <v>2.0110000000000001</v>
      </c>
      <c r="K28">
        <v>229.76400000000001</v>
      </c>
      <c r="L28">
        <v>2.8039999999999998</v>
      </c>
      <c r="M28">
        <v>52.732999999999997</v>
      </c>
      <c r="N28">
        <v>2.9319999999999999</v>
      </c>
      <c r="O28">
        <v>0.86199999999999999</v>
      </c>
      <c r="P28">
        <v>0</v>
      </c>
      <c r="Q28">
        <v>17.545000000000002</v>
      </c>
      <c r="R28">
        <v>41.4</v>
      </c>
      <c r="S28">
        <v>9.1</v>
      </c>
    </row>
    <row r="29" spans="1:19" x14ac:dyDescent="0.3">
      <c r="A29" t="s">
        <v>1013</v>
      </c>
      <c r="B29">
        <v>172.05500000000001</v>
      </c>
      <c r="C29">
        <v>70.466999999999999</v>
      </c>
      <c r="D29">
        <v>100</v>
      </c>
      <c r="E29">
        <v>0.35899999999999999</v>
      </c>
      <c r="F29">
        <v>79.701999999999998</v>
      </c>
      <c r="G29">
        <v>5.7519999999999998</v>
      </c>
      <c r="H29">
        <v>62.749000000000002</v>
      </c>
      <c r="I29">
        <v>71.268000000000001</v>
      </c>
      <c r="J29">
        <v>2.0110000000000001</v>
      </c>
      <c r="K29">
        <v>229.94399999999999</v>
      </c>
      <c r="L29">
        <v>2.7959999999999998</v>
      </c>
      <c r="M29">
        <v>52.738999999999997</v>
      </c>
      <c r="N29">
        <v>2.9430000000000001</v>
      </c>
      <c r="O29">
        <v>0.86599999999999999</v>
      </c>
      <c r="P29">
        <v>0</v>
      </c>
      <c r="Q29">
        <v>17.521999999999998</v>
      </c>
      <c r="R29">
        <v>41.4</v>
      </c>
      <c r="S29">
        <v>9.1</v>
      </c>
    </row>
    <row r="30" spans="1:19" x14ac:dyDescent="0.3">
      <c r="A30" t="s">
        <v>1014</v>
      </c>
      <c r="B30">
        <v>172.24</v>
      </c>
      <c r="C30">
        <v>70.477000000000004</v>
      </c>
      <c r="D30">
        <v>100</v>
      </c>
      <c r="E30">
        <v>0.35599999999999998</v>
      </c>
      <c r="F30">
        <v>80.227000000000004</v>
      </c>
      <c r="G30">
        <v>5.476</v>
      </c>
      <c r="H30">
        <v>62.847999999999999</v>
      </c>
      <c r="I30">
        <v>71.739999999999995</v>
      </c>
      <c r="J30">
        <v>2.0110000000000001</v>
      </c>
      <c r="K30">
        <v>229.74700000000001</v>
      </c>
      <c r="L30">
        <v>2.8149999999999999</v>
      </c>
      <c r="M30">
        <v>52.715000000000003</v>
      </c>
      <c r="N30">
        <v>2.9289999999999998</v>
      </c>
      <c r="O30">
        <v>0.86299999999999999</v>
      </c>
      <c r="P30">
        <v>0</v>
      </c>
      <c r="Q30">
        <v>17.526</v>
      </c>
      <c r="R30">
        <v>41.4</v>
      </c>
      <c r="S30">
        <v>9.1</v>
      </c>
    </row>
    <row r="31" spans="1:19" x14ac:dyDescent="0.3">
      <c r="A31" t="s">
        <v>1015</v>
      </c>
      <c r="B31">
        <v>172.39</v>
      </c>
      <c r="C31">
        <v>70.48</v>
      </c>
      <c r="D31">
        <v>100</v>
      </c>
      <c r="E31">
        <v>0.36499999999999999</v>
      </c>
      <c r="F31">
        <v>79.468000000000004</v>
      </c>
      <c r="G31">
        <v>5.3810000000000002</v>
      </c>
      <c r="H31">
        <v>62.734999999999999</v>
      </c>
      <c r="I31">
        <v>71.415999999999997</v>
      </c>
      <c r="J31">
        <v>2.0099999999999998</v>
      </c>
      <c r="K31">
        <v>229.928</v>
      </c>
      <c r="L31">
        <v>2.802</v>
      </c>
      <c r="M31">
        <v>52.94</v>
      </c>
      <c r="N31">
        <v>2.9209999999999998</v>
      </c>
      <c r="O31">
        <v>0.86399999999999999</v>
      </c>
      <c r="P31">
        <v>0</v>
      </c>
      <c r="Q31">
        <v>17.533000000000001</v>
      </c>
      <c r="R31">
        <v>41.3</v>
      </c>
      <c r="S31">
        <v>9.1</v>
      </c>
    </row>
    <row r="32" spans="1:19" x14ac:dyDescent="0.3">
      <c r="A32" t="s">
        <v>1016</v>
      </c>
      <c r="B32">
        <v>172.20599999999999</v>
      </c>
      <c r="C32">
        <v>70.536000000000001</v>
      </c>
      <c r="D32">
        <v>100</v>
      </c>
      <c r="E32">
        <v>0.35799999999999998</v>
      </c>
      <c r="F32">
        <v>78.275999999999996</v>
      </c>
      <c r="G32">
        <v>5.4880000000000004</v>
      </c>
      <c r="H32">
        <v>62.707999999999998</v>
      </c>
      <c r="I32">
        <v>71.757000000000005</v>
      </c>
      <c r="J32">
        <v>2.0129999999999999</v>
      </c>
      <c r="K32">
        <v>229.928</v>
      </c>
      <c r="L32">
        <v>2.8540000000000001</v>
      </c>
      <c r="M32">
        <v>52.805999999999997</v>
      </c>
      <c r="N32">
        <v>2.8919999999999999</v>
      </c>
      <c r="O32">
        <v>0.87</v>
      </c>
      <c r="P32">
        <v>0</v>
      </c>
      <c r="Q32">
        <v>17.521999999999998</v>
      </c>
      <c r="R32">
        <v>41.4</v>
      </c>
      <c r="S32">
        <v>9.1</v>
      </c>
    </row>
    <row r="33" spans="1:19" x14ac:dyDescent="0.3">
      <c r="A33" t="s">
        <v>1017</v>
      </c>
      <c r="B33">
        <v>171.90700000000001</v>
      </c>
      <c r="C33">
        <v>70.424000000000007</v>
      </c>
      <c r="D33">
        <v>100</v>
      </c>
      <c r="E33">
        <v>0.36</v>
      </c>
      <c r="F33">
        <v>79.954999999999998</v>
      </c>
      <c r="G33">
        <v>5.1890000000000001</v>
      </c>
      <c r="H33">
        <v>62.661999999999999</v>
      </c>
      <c r="I33">
        <v>71.486000000000004</v>
      </c>
      <c r="J33">
        <v>2.0099999999999998</v>
      </c>
      <c r="K33">
        <v>229.89500000000001</v>
      </c>
      <c r="L33">
        <v>2.8029999999999999</v>
      </c>
      <c r="M33">
        <v>52.767000000000003</v>
      </c>
      <c r="N33">
        <v>2.9289999999999998</v>
      </c>
      <c r="O33">
        <v>0.877</v>
      </c>
      <c r="P33">
        <v>0</v>
      </c>
      <c r="Q33">
        <v>17.512</v>
      </c>
      <c r="R33">
        <v>41.3</v>
      </c>
      <c r="S33">
        <v>9.1</v>
      </c>
    </row>
    <row r="34" spans="1:19" x14ac:dyDescent="0.3">
      <c r="A34" t="s">
        <v>1018</v>
      </c>
      <c r="B34">
        <v>171.863</v>
      </c>
      <c r="C34">
        <v>70.456999999999994</v>
      </c>
      <c r="D34">
        <v>100</v>
      </c>
      <c r="E34">
        <v>0.378</v>
      </c>
      <c r="F34">
        <v>80.254000000000005</v>
      </c>
      <c r="G34">
        <v>5.5019999999999998</v>
      </c>
      <c r="H34">
        <v>62.67</v>
      </c>
      <c r="I34">
        <v>71.472999999999999</v>
      </c>
      <c r="J34">
        <v>2.0139999999999998</v>
      </c>
      <c r="K34">
        <v>229.977</v>
      </c>
      <c r="L34">
        <v>2.7970000000000002</v>
      </c>
      <c r="M34">
        <v>52.866999999999997</v>
      </c>
      <c r="N34">
        <v>2.9279999999999999</v>
      </c>
      <c r="O34">
        <v>0.88</v>
      </c>
      <c r="P34">
        <v>0</v>
      </c>
      <c r="Q34">
        <v>17.523</v>
      </c>
      <c r="R34">
        <v>41.4</v>
      </c>
      <c r="S34">
        <v>9.1</v>
      </c>
    </row>
    <row r="35" spans="1:19" ht="15" thickBot="1" x14ac:dyDescent="0.35">
      <c r="A35" t="s">
        <v>1019</v>
      </c>
      <c r="B35">
        <v>172.51</v>
      </c>
      <c r="C35">
        <v>70.492999999999995</v>
      </c>
      <c r="D35">
        <v>100</v>
      </c>
      <c r="E35">
        <v>0.36299999999999999</v>
      </c>
      <c r="F35">
        <v>79.11</v>
      </c>
      <c r="G35">
        <v>5</v>
      </c>
      <c r="H35">
        <v>63.003999999999998</v>
      </c>
      <c r="I35">
        <v>71.665999999999997</v>
      </c>
      <c r="J35">
        <v>2.008</v>
      </c>
      <c r="K35">
        <v>229.78</v>
      </c>
      <c r="L35">
        <v>2.7970000000000002</v>
      </c>
      <c r="M35">
        <v>52.749000000000002</v>
      </c>
      <c r="N35">
        <v>2.8919999999999999</v>
      </c>
      <c r="O35">
        <v>0.86399999999999999</v>
      </c>
      <c r="P35">
        <v>0</v>
      </c>
      <c r="Q35">
        <v>17.516999999999999</v>
      </c>
      <c r="R35">
        <v>41.3</v>
      </c>
      <c r="S35">
        <v>9.1</v>
      </c>
    </row>
    <row r="36" spans="1:19" ht="15" thickBot="1" x14ac:dyDescent="0.35">
      <c r="A36" t="s">
        <v>30</v>
      </c>
      <c r="B36" s="1">
        <f>AVERAGE(B6:B35)</f>
        <v>171.84953333333337</v>
      </c>
      <c r="C36" s="1">
        <f>AVERAGE(C6:C35)</f>
        <v>70.447433333333322</v>
      </c>
      <c r="D36" s="1">
        <f t="shared" ref="D36:S36" si="0">AVERAGE(D6:D35)</f>
        <v>100</v>
      </c>
      <c r="E36" s="10">
        <f t="shared" si="0"/>
        <v>0.36359999999999998</v>
      </c>
      <c r="F36" s="1">
        <f t="shared" si="0"/>
        <v>79.650666666666652</v>
      </c>
      <c r="G36" s="1">
        <f t="shared" si="0"/>
        <v>5.3613333333333335</v>
      </c>
      <c r="H36" s="10">
        <f t="shared" si="0"/>
        <v>62.856233333333321</v>
      </c>
      <c r="I36" s="1">
        <f t="shared" si="0"/>
        <v>71.290266666666668</v>
      </c>
      <c r="J36" s="8">
        <f t="shared" si="0"/>
        <v>2.0111000000000003</v>
      </c>
      <c r="K36" s="1">
        <f t="shared" si="0"/>
        <v>229.88526666666672</v>
      </c>
      <c r="L36" s="1">
        <f t="shared" si="0"/>
        <v>2.883666666666667</v>
      </c>
      <c r="M36" s="1">
        <f t="shared" si="0"/>
        <v>52.802266666666668</v>
      </c>
      <c r="N36" s="1">
        <f t="shared" si="0"/>
        <v>2.9273333333333329</v>
      </c>
      <c r="O36" s="1">
        <f t="shared" si="0"/>
        <v>0.86643333333333339</v>
      </c>
      <c r="P36" s="1">
        <f t="shared" si="0"/>
        <v>0</v>
      </c>
      <c r="Q36" s="1">
        <f t="shared" si="0"/>
        <v>17.564833333333336</v>
      </c>
      <c r="R36" s="1">
        <f t="shared" si="0"/>
        <v>41.373333333333321</v>
      </c>
      <c r="S36" s="1">
        <f t="shared" si="0"/>
        <v>9.0999999999999979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8218-00E7-4615-B448-00D6CEE67FA5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0.6509490740740741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2.0800170314730635</v>
      </c>
      <c r="M2" s="8">
        <f>100*(R26/(R26+Q26))</f>
        <v>70.621070954491955</v>
      </c>
      <c r="O2" s="9">
        <f>100*((E26*C2)/((E26*C2)+(K2*E2)))</f>
        <v>13.891104536687751</v>
      </c>
      <c r="Q2" s="10">
        <f>100*J26*(1/(((C2/3.6)*E26)+((E2/3.6)*K2)))</f>
        <v>12.402570212702726</v>
      </c>
      <c r="S2" s="6">
        <v>3.54</v>
      </c>
      <c r="U2" s="10">
        <f>100*((((G26*0.001*60)*(C26-D26)*(S2/3.6)))/(((C2/3.6)*E26)+((E2/3.6)*K2)))</f>
        <v>27.918099071779913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710</v>
      </c>
      <c r="B6">
        <v>206.58699999999999</v>
      </c>
      <c r="C6">
        <v>70.052999999999997</v>
      </c>
      <c r="D6">
        <v>46.968000000000004</v>
      </c>
      <c r="E6">
        <v>0.40500000000000003</v>
      </c>
      <c r="F6">
        <v>79.649000000000001</v>
      </c>
      <c r="G6">
        <v>6.665</v>
      </c>
      <c r="H6">
        <v>68.302999999999997</v>
      </c>
      <c r="I6">
        <v>71.56</v>
      </c>
      <c r="J6">
        <v>4.1660000000000004</v>
      </c>
      <c r="K6">
        <v>230.07599999999999</v>
      </c>
      <c r="L6">
        <v>6.0449999999999999</v>
      </c>
      <c r="M6">
        <v>52.55</v>
      </c>
      <c r="N6">
        <v>5.9880000000000004</v>
      </c>
      <c r="O6">
        <v>0.89400000000000002</v>
      </c>
      <c r="P6">
        <v>0</v>
      </c>
      <c r="Q6">
        <v>18.478000000000002</v>
      </c>
      <c r="R6">
        <v>45.3</v>
      </c>
      <c r="S6">
        <v>14.63</v>
      </c>
    </row>
    <row r="7" spans="1:21" x14ac:dyDescent="0.3">
      <c r="A7" t="s">
        <v>711</v>
      </c>
      <c r="B7">
        <v>206.71299999999999</v>
      </c>
      <c r="C7">
        <v>69.944999999999993</v>
      </c>
      <c r="D7">
        <v>46.945</v>
      </c>
      <c r="E7">
        <v>0.41099999999999998</v>
      </c>
      <c r="F7">
        <v>79.546999999999997</v>
      </c>
      <c r="G7">
        <v>7.1369999999999996</v>
      </c>
      <c r="H7">
        <v>68.483999999999995</v>
      </c>
      <c r="I7">
        <v>71.912999999999997</v>
      </c>
      <c r="J7">
        <v>4.16</v>
      </c>
      <c r="K7">
        <v>229.73099999999999</v>
      </c>
      <c r="L7">
        <v>6.0369999999999999</v>
      </c>
      <c r="M7">
        <v>52.636000000000003</v>
      </c>
      <c r="N7">
        <v>5.9859999999999998</v>
      </c>
      <c r="O7">
        <v>0.86099999999999999</v>
      </c>
      <c r="P7">
        <v>0</v>
      </c>
      <c r="Q7">
        <v>18.516999999999999</v>
      </c>
      <c r="R7">
        <v>45.3</v>
      </c>
      <c r="S7">
        <v>14.63</v>
      </c>
    </row>
    <row r="8" spans="1:21" x14ac:dyDescent="0.3">
      <c r="A8" t="s">
        <v>712</v>
      </c>
      <c r="B8">
        <v>206.73</v>
      </c>
      <c r="C8">
        <v>70.05</v>
      </c>
      <c r="D8">
        <v>47.103000000000002</v>
      </c>
      <c r="E8">
        <v>0.40100000000000002</v>
      </c>
      <c r="F8">
        <v>79.528000000000006</v>
      </c>
      <c r="G8">
        <v>6.9809999999999999</v>
      </c>
      <c r="H8">
        <v>68.433000000000007</v>
      </c>
      <c r="I8">
        <v>71.884</v>
      </c>
      <c r="J8">
        <v>4.165</v>
      </c>
      <c r="K8">
        <v>229.96100000000001</v>
      </c>
      <c r="L8">
        <v>6.0449999999999999</v>
      </c>
      <c r="M8">
        <v>52.573</v>
      </c>
      <c r="N8">
        <v>5.984</v>
      </c>
      <c r="O8">
        <v>0.88800000000000001</v>
      </c>
      <c r="P8">
        <v>0</v>
      </c>
      <c r="Q8">
        <v>18.553999999999998</v>
      </c>
      <c r="R8">
        <v>45.3</v>
      </c>
      <c r="S8">
        <v>14.63</v>
      </c>
    </row>
    <row r="9" spans="1:21" x14ac:dyDescent="0.3">
      <c r="A9" t="s">
        <v>713</v>
      </c>
      <c r="B9">
        <v>207.018</v>
      </c>
      <c r="C9">
        <v>70.022999999999996</v>
      </c>
      <c r="D9">
        <v>47.033999999999999</v>
      </c>
      <c r="E9">
        <v>0.40600000000000003</v>
      </c>
      <c r="F9">
        <v>79.954999999999998</v>
      </c>
      <c r="G9">
        <v>6.9820000000000002</v>
      </c>
      <c r="H9">
        <v>68.787999999999997</v>
      </c>
      <c r="I9">
        <v>71.784999999999997</v>
      </c>
      <c r="J9">
        <v>4.165</v>
      </c>
      <c r="K9">
        <v>229.797</v>
      </c>
      <c r="L9">
        <v>6.0419999999999998</v>
      </c>
      <c r="M9">
        <v>52.585000000000001</v>
      </c>
      <c r="N9">
        <v>5.9829999999999997</v>
      </c>
      <c r="O9">
        <v>0.88200000000000001</v>
      </c>
      <c r="P9">
        <v>0</v>
      </c>
      <c r="Q9">
        <v>18.501000000000001</v>
      </c>
      <c r="R9">
        <v>45.3</v>
      </c>
      <c r="S9">
        <v>14.63</v>
      </c>
    </row>
    <row r="10" spans="1:21" x14ac:dyDescent="0.3">
      <c r="A10" t="s">
        <v>714</v>
      </c>
      <c r="B10">
        <v>207.011</v>
      </c>
      <c r="C10">
        <v>70.085999999999999</v>
      </c>
      <c r="D10">
        <v>47.046999999999997</v>
      </c>
      <c r="E10">
        <v>0.39800000000000002</v>
      </c>
      <c r="F10">
        <v>80.378</v>
      </c>
      <c r="G10">
        <v>6.24</v>
      </c>
      <c r="H10">
        <v>68.661000000000001</v>
      </c>
      <c r="I10">
        <v>71.641999999999996</v>
      </c>
      <c r="J10">
        <v>4.1680000000000001</v>
      </c>
      <c r="K10">
        <v>230.059</v>
      </c>
      <c r="L10">
        <v>6.04</v>
      </c>
      <c r="M10">
        <v>52.609000000000002</v>
      </c>
      <c r="N10">
        <v>5.984</v>
      </c>
      <c r="O10">
        <v>0.872</v>
      </c>
      <c r="P10">
        <v>0</v>
      </c>
      <c r="Q10">
        <v>18.616</v>
      </c>
      <c r="R10">
        <v>45.2</v>
      </c>
      <c r="S10">
        <v>14.63</v>
      </c>
    </row>
    <row r="11" spans="1:21" x14ac:dyDescent="0.3">
      <c r="A11" t="s">
        <v>715</v>
      </c>
      <c r="B11">
        <v>207.155</v>
      </c>
      <c r="C11">
        <v>70.108999999999995</v>
      </c>
      <c r="D11">
        <v>47.131999999999998</v>
      </c>
      <c r="E11">
        <v>0.38400000000000001</v>
      </c>
      <c r="F11">
        <v>79.629000000000005</v>
      </c>
      <c r="G11">
        <v>6.7439999999999998</v>
      </c>
      <c r="H11">
        <v>68.790000000000006</v>
      </c>
      <c r="I11">
        <v>71.912999999999997</v>
      </c>
      <c r="J11">
        <v>4.1470000000000002</v>
      </c>
      <c r="K11">
        <v>229.76400000000001</v>
      </c>
      <c r="L11">
        <v>6.0449999999999999</v>
      </c>
      <c r="M11">
        <v>52.484999999999999</v>
      </c>
      <c r="N11">
        <v>5.9770000000000003</v>
      </c>
      <c r="O11">
        <v>0.86899999999999999</v>
      </c>
      <c r="P11">
        <v>0</v>
      </c>
      <c r="Q11">
        <v>18.667000000000002</v>
      </c>
      <c r="R11">
        <v>45.2</v>
      </c>
      <c r="S11">
        <v>14.63</v>
      </c>
    </row>
    <row r="12" spans="1:21" x14ac:dyDescent="0.3">
      <c r="A12" t="s">
        <v>716</v>
      </c>
      <c r="B12">
        <v>207.05199999999999</v>
      </c>
      <c r="C12">
        <v>70.004000000000005</v>
      </c>
      <c r="D12">
        <v>47.247</v>
      </c>
      <c r="E12">
        <v>0.39500000000000002</v>
      </c>
      <c r="F12">
        <v>80.135000000000005</v>
      </c>
      <c r="G12">
        <v>6.8920000000000003</v>
      </c>
      <c r="H12">
        <v>68.724999999999994</v>
      </c>
      <c r="I12">
        <v>71.957999999999998</v>
      </c>
      <c r="J12">
        <v>4.1609999999999996</v>
      </c>
      <c r="K12">
        <v>230.02699999999999</v>
      </c>
      <c r="L12">
        <v>6.0410000000000004</v>
      </c>
      <c r="M12">
        <v>52.52</v>
      </c>
      <c r="N12">
        <v>5.9770000000000003</v>
      </c>
      <c r="O12">
        <v>0.871</v>
      </c>
      <c r="P12">
        <v>0</v>
      </c>
      <c r="Q12">
        <v>18.681000000000001</v>
      </c>
      <c r="R12">
        <v>45.1</v>
      </c>
      <c r="S12">
        <v>14.63</v>
      </c>
    </row>
    <row r="13" spans="1:21" x14ac:dyDescent="0.3">
      <c r="A13" t="s">
        <v>717</v>
      </c>
      <c r="B13">
        <v>207.703</v>
      </c>
      <c r="C13">
        <v>70.174999999999997</v>
      </c>
      <c r="D13">
        <v>47.241</v>
      </c>
      <c r="E13">
        <v>0.35699999999999998</v>
      </c>
      <c r="F13">
        <v>79.751000000000005</v>
      </c>
      <c r="G13">
        <v>7.12</v>
      </c>
      <c r="H13">
        <v>68.864999999999995</v>
      </c>
      <c r="I13">
        <v>71.945999999999998</v>
      </c>
      <c r="J13">
        <v>4.1660000000000004</v>
      </c>
      <c r="K13">
        <v>229.86199999999999</v>
      </c>
      <c r="L13">
        <v>6.0430000000000001</v>
      </c>
      <c r="M13">
        <v>52.561999999999998</v>
      </c>
      <c r="N13">
        <v>5.9859999999999998</v>
      </c>
      <c r="O13">
        <v>0.88700000000000001</v>
      </c>
      <c r="P13">
        <v>0</v>
      </c>
      <c r="Q13">
        <v>18.722999999999999</v>
      </c>
      <c r="R13">
        <v>45.1</v>
      </c>
      <c r="S13">
        <v>14.63</v>
      </c>
    </row>
    <row r="14" spans="1:21" x14ac:dyDescent="0.3">
      <c r="A14" t="s">
        <v>718</v>
      </c>
      <c r="B14">
        <v>207.083</v>
      </c>
      <c r="C14">
        <v>70.129000000000005</v>
      </c>
      <c r="D14">
        <v>47.164999999999999</v>
      </c>
      <c r="E14">
        <v>0.38300000000000001</v>
      </c>
      <c r="F14">
        <v>79.991</v>
      </c>
      <c r="G14">
        <v>7.1550000000000002</v>
      </c>
      <c r="H14">
        <v>68.625</v>
      </c>
      <c r="I14">
        <v>71.941000000000003</v>
      </c>
      <c r="J14">
        <v>4.1630000000000003</v>
      </c>
      <c r="K14">
        <v>229.87899999999999</v>
      </c>
      <c r="L14">
        <v>6.0389999999999997</v>
      </c>
      <c r="M14">
        <v>52.616999999999997</v>
      </c>
      <c r="N14">
        <v>5.9859999999999998</v>
      </c>
      <c r="O14">
        <v>0.86099999999999999</v>
      </c>
      <c r="P14">
        <v>0</v>
      </c>
      <c r="Q14">
        <v>18.786999999999999</v>
      </c>
      <c r="R14">
        <v>45.1</v>
      </c>
      <c r="S14">
        <v>14.63</v>
      </c>
    </row>
    <row r="15" spans="1:21" x14ac:dyDescent="0.3">
      <c r="A15" t="s">
        <v>719</v>
      </c>
      <c r="B15">
        <v>207.42699999999999</v>
      </c>
      <c r="C15">
        <v>70.144999999999996</v>
      </c>
      <c r="D15">
        <v>47.145000000000003</v>
      </c>
      <c r="E15">
        <v>0.40899999999999997</v>
      </c>
      <c r="F15">
        <v>80.346000000000004</v>
      </c>
      <c r="G15">
        <v>7.0090000000000003</v>
      </c>
      <c r="H15">
        <v>68.885000000000005</v>
      </c>
      <c r="I15">
        <v>72.122</v>
      </c>
      <c r="J15">
        <v>4.165</v>
      </c>
      <c r="K15">
        <v>230.04300000000001</v>
      </c>
      <c r="L15">
        <v>6.0460000000000003</v>
      </c>
      <c r="M15">
        <v>52.52</v>
      </c>
      <c r="N15">
        <v>5.984</v>
      </c>
      <c r="O15">
        <v>0.871</v>
      </c>
      <c r="P15">
        <v>0</v>
      </c>
      <c r="Q15">
        <v>18.774999999999999</v>
      </c>
      <c r="R15">
        <v>45.1</v>
      </c>
      <c r="S15">
        <v>14.63</v>
      </c>
    </row>
    <row r="16" spans="1:21" x14ac:dyDescent="0.3">
      <c r="A16" t="s">
        <v>720</v>
      </c>
      <c r="B16">
        <v>207.54900000000001</v>
      </c>
      <c r="C16">
        <v>70.194000000000003</v>
      </c>
      <c r="D16">
        <v>47.244</v>
      </c>
      <c r="E16">
        <v>0.38900000000000001</v>
      </c>
      <c r="F16">
        <v>79.477999999999994</v>
      </c>
      <c r="G16">
        <v>7.0940000000000003</v>
      </c>
      <c r="H16">
        <v>68.688999999999993</v>
      </c>
      <c r="I16">
        <v>71.81</v>
      </c>
      <c r="J16">
        <v>4.1609999999999996</v>
      </c>
      <c r="K16">
        <v>229.714</v>
      </c>
      <c r="L16">
        <v>6.0350000000000001</v>
      </c>
      <c r="M16">
        <v>52.56</v>
      </c>
      <c r="N16">
        <v>5.9870000000000001</v>
      </c>
      <c r="O16">
        <v>0.9</v>
      </c>
      <c r="P16">
        <v>0</v>
      </c>
      <c r="Q16">
        <v>18.829000000000001</v>
      </c>
      <c r="R16">
        <v>45.1</v>
      </c>
      <c r="S16">
        <v>14.63</v>
      </c>
    </row>
    <row r="17" spans="1:19" x14ac:dyDescent="0.3">
      <c r="A17" t="s">
        <v>721</v>
      </c>
      <c r="B17">
        <v>207.49</v>
      </c>
      <c r="C17">
        <v>70.216999999999999</v>
      </c>
      <c r="D17">
        <v>47.273000000000003</v>
      </c>
      <c r="E17">
        <v>0.39300000000000002</v>
      </c>
      <c r="F17">
        <v>80.778999999999996</v>
      </c>
      <c r="G17">
        <v>7.0890000000000004</v>
      </c>
      <c r="H17">
        <v>68.885000000000005</v>
      </c>
      <c r="I17">
        <v>72.096999999999994</v>
      </c>
      <c r="J17">
        <v>4.1669999999999998</v>
      </c>
      <c r="K17">
        <v>229.928</v>
      </c>
      <c r="L17">
        <v>6.0469999999999997</v>
      </c>
      <c r="M17">
        <v>52.567</v>
      </c>
      <c r="N17">
        <v>5.9829999999999997</v>
      </c>
      <c r="O17">
        <v>0.88100000000000001</v>
      </c>
      <c r="P17">
        <v>0</v>
      </c>
      <c r="Q17">
        <v>18.832000000000001</v>
      </c>
      <c r="R17">
        <v>45.1</v>
      </c>
      <c r="S17">
        <v>14.63</v>
      </c>
    </row>
    <row r="18" spans="1:19" x14ac:dyDescent="0.3">
      <c r="A18" t="s">
        <v>722</v>
      </c>
      <c r="B18">
        <v>207.327</v>
      </c>
      <c r="C18">
        <v>70.257000000000005</v>
      </c>
      <c r="D18">
        <v>47.999000000000002</v>
      </c>
      <c r="E18">
        <v>0.41199999999999998</v>
      </c>
      <c r="F18">
        <v>81.028999999999996</v>
      </c>
      <c r="G18">
        <v>6.5110000000000001</v>
      </c>
      <c r="H18">
        <v>68.858999999999995</v>
      </c>
      <c r="I18">
        <v>72.031999999999996</v>
      </c>
      <c r="J18">
        <v>4.165</v>
      </c>
      <c r="K18">
        <v>229.994</v>
      </c>
      <c r="L18">
        <v>6.032</v>
      </c>
      <c r="M18">
        <v>52.533999999999999</v>
      </c>
      <c r="N18">
        <v>5.984</v>
      </c>
      <c r="O18">
        <v>0.88700000000000001</v>
      </c>
      <c r="P18">
        <v>0</v>
      </c>
      <c r="Q18">
        <v>18.847000000000001</v>
      </c>
      <c r="R18">
        <v>45</v>
      </c>
      <c r="S18">
        <v>14.63</v>
      </c>
    </row>
    <row r="19" spans="1:19" x14ac:dyDescent="0.3">
      <c r="A19" t="s">
        <v>723</v>
      </c>
      <c r="B19">
        <v>207.459</v>
      </c>
      <c r="C19">
        <v>70.290000000000006</v>
      </c>
      <c r="D19">
        <v>48.029000000000003</v>
      </c>
      <c r="E19">
        <v>0.39600000000000002</v>
      </c>
      <c r="F19">
        <v>79.991</v>
      </c>
      <c r="G19">
        <v>7.2290000000000001</v>
      </c>
      <c r="H19">
        <v>68.638000000000005</v>
      </c>
      <c r="I19">
        <v>72.183999999999997</v>
      </c>
      <c r="J19">
        <v>4.1639999999999997</v>
      </c>
      <c r="K19">
        <v>229.82900000000001</v>
      </c>
      <c r="L19">
        <v>6.0309999999999997</v>
      </c>
      <c r="M19">
        <v>52.545999999999999</v>
      </c>
      <c r="N19">
        <v>5.992</v>
      </c>
      <c r="O19">
        <v>0.86899999999999999</v>
      </c>
      <c r="P19">
        <v>0</v>
      </c>
      <c r="Q19">
        <v>18.882000000000001</v>
      </c>
      <c r="R19">
        <v>45</v>
      </c>
      <c r="S19">
        <v>14.63</v>
      </c>
    </row>
    <row r="20" spans="1:19" x14ac:dyDescent="0.3">
      <c r="A20" t="s">
        <v>724</v>
      </c>
      <c r="B20">
        <v>207.399</v>
      </c>
      <c r="C20">
        <v>70.290000000000006</v>
      </c>
      <c r="D20">
        <v>48.052</v>
      </c>
      <c r="E20">
        <v>0.379</v>
      </c>
      <c r="F20">
        <v>79.576999999999998</v>
      </c>
      <c r="G20">
        <v>7.38</v>
      </c>
      <c r="H20">
        <v>68.725999999999999</v>
      </c>
      <c r="I20">
        <v>72.043999999999997</v>
      </c>
      <c r="J20">
        <v>4.1630000000000003</v>
      </c>
      <c r="K20">
        <v>229.928</v>
      </c>
      <c r="L20">
        <v>6.0380000000000003</v>
      </c>
      <c r="M20">
        <v>52.491</v>
      </c>
      <c r="N20">
        <v>5.98</v>
      </c>
      <c r="O20">
        <v>0.879</v>
      </c>
      <c r="P20">
        <v>0</v>
      </c>
      <c r="Q20">
        <v>18.936</v>
      </c>
      <c r="R20">
        <v>45</v>
      </c>
      <c r="S20">
        <v>14.63</v>
      </c>
    </row>
    <row r="21" spans="1:19" x14ac:dyDescent="0.3">
      <c r="A21" t="s">
        <v>725</v>
      </c>
      <c r="B21">
        <v>207.636</v>
      </c>
      <c r="C21">
        <v>70.257000000000005</v>
      </c>
      <c r="D21">
        <v>47.97</v>
      </c>
      <c r="E21">
        <v>0.41099999999999998</v>
      </c>
      <c r="F21">
        <v>79.495000000000005</v>
      </c>
      <c r="G21">
        <v>7</v>
      </c>
      <c r="H21">
        <v>68.991</v>
      </c>
      <c r="I21">
        <v>73.375</v>
      </c>
      <c r="J21">
        <v>4.1669999999999998</v>
      </c>
      <c r="K21">
        <v>229.87899999999999</v>
      </c>
      <c r="L21">
        <v>6.0419999999999998</v>
      </c>
      <c r="M21">
        <v>52.570999999999998</v>
      </c>
      <c r="N21">
        <v>5.9829999999999997</v>
      </c>
      <c r="O21">
        <v>0.86099999999999999</v>
      </c>
      <c r="P21">
        <v>0</v>
      </c>
      <c r="Q21">
        <v>18.949000000000002</v>
      </c>
      <c r="R21">
        <v>45</v>
      </c>
      <c r="S21">
        <v>14.63</v>
      </c>
    </row>
    <row r="22" spans="1:19" x14ac:dyDescent="0.3">
      <c r="A22" t="s">
        <v>726</v>
      </c>
      <c r="B22">
        <v>207.79599999999999</v>
      </c>
      <c r="C22">
        <v>70.293000000000006</v>
      </c>
      <c r="D22">
        <v>47.871000000000002</v>
      </c>
      <c r="E22">
        <v>0.40799999999999997</v>
      </c>
      <c r="F22">
        <v>79.885999999999996</v>
      </c>
      <c r="G22">
        <v>7.0659999999999998</v>
      </c>
      <c r="H22">
        <v>68.734999999999999</v>
      </c>
      <c r="I22">
        <v>72.084999999999994</v>
      </c>
      <c r="J22">
        <v>4.1619999999999999</v>
      </c>
      <c r="K22">
        <v>229.86199999999999</v>
      </c>
      <c r="L22">
        <v>6.0350000000000001</v>
      </c>
      <c r="M22">
        <v>52.524000000000001</v>
      </c>
      <c r="N22">
        <v>5.9740000000000002</v>
      </c>
      <c r="O22">
        <v>0.88100000000000001</v>
      </c>
      <c r="P22">
        <v>0</v>
      </c>
      <c r="Q22">
        <v>18.943000000000001</v>
      </c>
      <c r="R22">
        <v>45</v>
      </c>
      <c r="S22">
        <v>14.63</v>
      </c>
    </row>
    <row r="23" spans="1:19" x14ac:dyDescent="0.3">
      <c r="A23" t="s">
        <v>727</v>
      </c>
      <c r="B23">
        <v>207.62100000000001</v>
      </c>
      <c r="C23">
        <v>70.260000000000005</v>
      </c>
      <c r="D23">
        <v>47.914000000000001</v>
      </c>
      <c r="E23">
        <v>0.37</v>
      </c>
      <c r="F23">
        <v>79.025000000000006</v>
      </c>
      <c r="G23">
        <v>6.6520000000000001</v>
      </c>
      <c r="H23">
        <v>68.665999999999997</v>
      </c>
      <c r="I23">
        <v>72.364000000000004</v>
      </c>
      <c r="J23">
        <v>4.1680000000000001</v>
      </c>
      <c r="K23">
        <v>230.09200000000001</v>
      </c>
      <c r="L23">
        <v>6.0469999999999997</v>
      </c>
      <c r="M23">
        <v>52.569000000000003</v>
      </c>
      <c r="N23">
        <v>5.98</v>
      </c>
      <c r="O23">
        <v>0.89900000000000002</v>
      </c>
      <c r="P23">
        <v>0</v>
      </c>
      <c r="Q23">
        <v>18.943999999999999</v>
      </c>
      <c r="R23">
        <v>45.1</v>
      </c>
      <c r="S23">
        <v>14.63</v>
      </c>
    </row>
    <row r="24" spans="1:19" x14ac:dyDescent="0.3">
      <c r="A24" t="s">
        <v>728</v>
      </c>
      <c r="B24">
        <v>207.60400000000001</v>
      </c>
      <c r="C24">
        <v>70.322000000000003</v>
      </c>
      <c r="D24">
        <v>47.996000000000002</v>
      </c>
      <c r="E24">
        <v>0.35599999999999998</v>
      </c>
      <c r="F24">
        <v>80.122</v>
      </c>
      <c r="G24">
        <v>7.4089999999999998</v>
      </c>
      <c r="H24">
        <v>68.808999999999997</v>
      </c>
      <c r="I24">
        <v>72.036000000000001</v>
      </c>
      <c r="J24">
        <v>4.1589999999999998</v>
      </c>
      <c r="K24">
        <v>229.76400000000001</v>
      </c>
      <c r="L24">
        <v>6.0410000000000004</v>
      </c>
      <c r="M24">
        <v>52.569000000000003</v>
      </c>
      <c r="N24">
        <v>5.976</v>
      </c>
      <c r="O24">
        <v>0.89</v>
      </c>
      <c r="P24">
        <v>0</v>
      </c>
      <c r="Q24">
        <v>18.969000000000001</v>
      </c>
      <c r="R24">
        <v>45</v>
      </c>
      <c r="S24">
        <v>14.63</v>
      </c>
    </row>
    <row r="25" spans="1:19" ht="15" thickBot="1" x14ac:dyDescent="0.35">
      <c r="A25" t="s">
        <v>729</v>
      </c>
      <c r="B25">
        <v>207.74100000000001</v>
      </c>
      <c r="C25">
        <v>70.293000000000006</v>
      </c>
      <c r="D25">
        <v>48.131</v>
      </c>
      <c r="E25">
        <v>0.4</v>
      </c>
      <c r="F25">
        <v>79.965000000000003</v>
      </c>
      <c r="G25">
        <v>7.6340000000000003</v>
      </c>
      <c r="H25">
        <v>68.926000000000002</v>
      </c>
      <c r="I25">
        <v>72.105999999999995</v>
      </c>
      <c r="J25">
        <v>4.1680000000000001</v>
      </c>
      <c r="K25">
        <v>230.09200000000001</v>
      </c>
      <c r="L25">
        <v>6.0510000000000002</v>
      </c>
      <c r="M25">
        <v>52.466999999999999</v>
      </c>
      <c r="N25">
        <v>5.9850000000000003</v>
      </c>
      <c r="O25">
        <v>0.871</v>
      </c>
      <c r="P25">
        <v>0</v>
      </c>
      <c r="Q25">
        <v>18.934000000000001</v>
      </c>
      <c r="R25">
        <v>45</v>
      </c>
      <c r="S25">
        <v>14.63</v>
      </c>
    </row>
    <row r="26" spans="1:19" ht="15" thickBot="1" x14ac:dyDescent="0.35">
      <c r="A26" t="s">
        <v>30</v>
      </c>
      <c r="B26" s="1">
        <f t="shared" ref="B26:S26" si="0">AVERAGE(B6:B25)</f>
        <v>207.30504999999999</v>
      </c>
      <c r="C26" s="1">
        <f t="shared" si="0"/>
        <v>70.169599999999988</v>
      </c>
      <c r="D26" s="1">
        <f t="shared" si="0"/>
        <v>47.475299999999997</v>
      </c>
      <c r="E26" s="10">
        <f t="shared" si="0"/>
        <v>0.39315</v>
      </c>
      <c r="F26" s="1">
        <f t="shared" si="0"/>
        <v>79.91279999999999</v>
      </c>
      <c r="G26" s="1">
        <f t="shared" si="0"/>
        <v>6.9994499999999986</v>
      </c>
      <c r="H26" s="10">
        <f t="shared" si="0"/>
        <v>68.72414999999998</v>
      </c>
      <c r="I26" s="1">
        <f t="shared" si="0"/>
        <v>72.039850000000015</v>
      </c>
      <c r="J26" s="8">
        <f t="shared" si="0"/>
        <v>4.1635000000000009</v>
      </c>
      <c r="K26" s="1">
        <f t="shared" si="0"/>
        <v>229.91405</v>
      </c>
      <c r="L26" s="1">
        <f t="shared" si="0"/>
        <v>6.0410999999999992</v>
      </c>
      <c r="M26" s="1">
        <f t="shared" si="0"/>
        <v>52.552750000000003</v>
      </c>
      <c r="N26" s="1">
        <f t="shared" si="0"/>
        <v>5.9829500000000007</v>
      </c>
      <c r="O26" s="1">
        <f t="shared" si="0"/>
        <v>0.87870000000000004</v>
      </c>
      <c r="P26" s="1">
        <f t="shared" si="0"/>
        <v>0</v>
      </c>
      <c r="Q26" s="1">
        <f t="shared" si="0"/>
        <v>18.7682</v>
      </c>
      <c r="R26" s="1">
        <f t="shared" si="0"/>
        <v>45.115000000000002</v>
      </c>
      <c r="S26" s="1">
        <f t="shared" si="0"/>
        <v>14.629999999999999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0BAC-9BAE-4A80-BA5D-3AFB97289C39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0.6181712962962963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2.0952058605187758</v>
      </c>
      <c r="M2" s="8">
        <f>100*(R26/(R26+Q26))</f>
        <v>71.032165830523368</v>
      </c>
      <c r="O2" s="9">
        <f>100*((E26*C2)/((E26*C2)+(K2*E2)))</f>
        <v>13.987020087432231</v>
      </c>
      <c r="Q2" s="10">
        <f>100*J26*(1/(((C2/3.6)*E26)+((E2/3.6)*K2)))</f>
        <v>12.280039489967777</v>
      </c>
      <c r="S2" s="6">
        <v>3.54</v>
      </c>
      <c r="U2" s="10">
        <f>100*((((G26*0.001*60)*(C26-D26)*(S2/3.6)))/(((C2/3.6)*E26)+((E2/3.6)*K2)))</f>
        <v>-35.487233721952819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1020</v>
      </c>
      <c r="B6">
        <v>200.76900000000001</v>
      </c>
      <c r="C6">
        <v>70.900999999999996</v>
      </c>
      <c r="D6">
        <v>100</v>
      </c>
      <c r="E6">
        <v>0.41299999999999998</v>
      </c>
      <c r="F6">
        <v>79.807000000000002</v>
      </c>
      <c r="G6">
        <v>7.0170000000000003</v>
      </c>
      <c r="H6">
        <v>68.694999999999993</v>
      </c>
      <c r="I6">
        <v>71.674999999999997</v>
      </c>
      <c r="J6">
        <v>4.16</v>
      </c>
      <c r="K6">
        <v>230.09200000000001</v>
      </c>
      <c r="L6">
        <v>6.0529999999999999</v>
      </c>
      <c r="M6">
        <v>52.703000000000003</v>
      </c>
      <c r="N6">
        <v>5.9580000000000002</v>
      </c>
      <c r="O6">
        <v>0.88100000000000001</v>
      </c>
      <c r="P6">
        <v>0</v>
      </c>
      <c r="Q6">
        <v>18.64</v>
      </c>
      <c r="R6">
        <v>45.9</v>
      </c>
      <c r="S6">
        <v>11.8</v>
      </c>
    </row>
    <row r="7" spans="1:21" x14ac:dyDescent="0.3">
      <c r="A7" t="s">
        <v>1021</v>
      </c>
      <c r="B7">
        <v>200.86699999999999</v>
      </c>
      <c r="C7">
        <v>70.870999999999995</v>
      </c>
      <c r="D7">
        <v>100</v>
      </c>
      <c r="E7">
        <v>0.40500000000000003</v>
      </c>
      <c r="F7">
        <v>79.896000000000001</v>
      </c>
      <c r="G7">
        <v>6.6970000000000001</v>
      </c>
      <c r="H7">
        <v>68.850999999999999</v>
      </c>
      <c r="I7">
        <v>72.055999999999997</v>
      </c>
      <c r="J7">
        <v>4.1520000000000001</v>
      </c>
      <c r="K7">
        <v>229.73099999999999</v>
      </c>
      <c r="L7">
        <v>6.0369999999999999</v>
      </c>
      <c r="M7">
        <v>52.581000000000003</v>
      </c>
      <c r="N7">
        <v>5.9550000000000001</v>
      </c>
      <c r="O7">
        <v>0.89800000000000002</v>
      </c>
      <c r="P7">
        <v>0</v>
      </c>
      <c r="Q7">
        <v>18.645</v>
      </c>
      <c r="R7">
        <v>46</v>
      </c>
      <c r="S7">
        <v>11.8</v>
      </c>
    </row>
    <row r="8" spans="1:21" x14ac:dyDescent="0.3">
      <c r="A8" t="s">
        <v>1022</v>
      </c>
      <c r="B8">
        <v>201.202</v>
      </c>
      <c r="C8">
        <v>70.873999999999995</v>
      </c>
      <c r="D8">
        <v>100</v>
      </c>
      <c r="E8">
        <v>0.41299999999999998</v>
      </c>
      <c r="F8">
        <v>78.762</v>
      </c>
      <c r="G8">
        <v>6.8230000000000004</v>
      </c>
      <c r="H8">
        <v>68.686999999999998</v>
      </c>
      <c r="I8">
        <v>71.724000000000004</v>
      </c>
      <c r="J8">
        <v>4.1609999999999996</v>
      </c>
      <c r="K8">
        <v>229.994</v>
      </c>
      <c r="L8">
        <v>6.0449999999999999</v>
      </c>
      <c r="M8">
        <v>52.732999999999997</v>
      </c>
      <c r="N8">
        <v>5.952</v>
      </c>
      <c r="O8">
        <v>0.88700000000000001</v>
      </c>
      <c r="P8">
        <v>0</v>
      </c>
      <c r="Q8">
        <v>18.654</v>
      </c>
      <c r="R8">
        <v>45.9</v>
      </c>
      <c r="S8">
        <v>11.8</v>
      </c>
    </row>
    <row r="9" spans="1:21" x14ac:dyDescent="0.3">
      <c r="A9" t="s">
        <v>1023</v>
      </c>
      <c r="B9">
        <v>201.18700000000001</v>
      </c>
      <c r="C9">
        <v>70.94</v>
      </c>
      <c r="D9">
        <v>100</v>
      </c>
      <c r="E9">
        <v>0.41599999999999998</v>
      </c>
      <c r="F9">
        <v>80.881</v>
      </c>
      <c r="G9">
        <v>7.0659999999999998</v>
      </c>
      <c r="H9">
        <v>68.97</v>
      </c>
      <c r="I9">
        <v>72.207999999999998</v>
      </c>
      <c r="J9">
        <v>4.1529999999999996</v>
      </c>
      <c r="K9">
        <v>229.74700000000001</v>
      </c>
      <c r="L9">
        <v>6.0350000000000001</v>
      </c>
      <c r="M9">
        <v>52.726999999999997</v>
      </c>
      <c r="N9">
        <v>5.9550000000000001</v>
      </c>
      <c r="O9">
        <v>0.87</v>
      </c>
      <c r="P9">
        <v>0</v>
      </c>
      <c r="Q9">
        <v>18.664000000000001</v>
      </c>
      <c r="R9">
        <v>45.9</v>
      </c>
      <c r="S9">
        <v>11.8</v>
      </c>
    </row>
    <row r="10" spans="1:21" x14ac:dyDescent="0.3">
      <c r="A10" t="s">
        <v>1024</v>
      </c>
      <c r="B10">
        <v>201.114</v>
      </c>
      <c r="C10">
        <v>70.906999999999996</v>
      </c>
      <c r="D10">
        <v>100</v>
      </c>
      <c r="E10">
        <v>0.38200000000000001</v>
      </c>
      <c r="F10">
        <v>80.165000000000006</v>
      </c>
      <c r="G10">
        <v>6.9379999999999997</v>
      </c>
      <c r="H10">
        <v>68.706999999999994</v>
      </c>
      <c r="I10">
        <v>71.88</v>
      </c>
      <c r="J10">
        <v>4.1609999999999996</v>
      </c>
      <c r="K10">
        <v>230.059</v>
      </c>
      <c r="L10">
        <v>6.05</v>
      </c>
      <c r="M10">
        <v>52.67</v>
      </c>
      <c r="N10">
        <v>5.9539999999999997</v>
      </c>
      <c r="O10">
        <v>0.86399999999999999</v>
      </c>
      <c r="P10">
        <v>0</v>
      </c>
      <c r="Q10">
        <v>18.643000000000001</v>
      </c>
      <c r="R10">
        <v>45.8</v>
      </c>
      <c r="S10">
        <v>11.8</v>
      </c>
    </row>
    <row r="11" spans="1:21" x14ac:dyDescent="0.3">
      <c r="A11" t="s">
        <v>1025</v>
      </c>
      <c r="B11">
        <v>200.63200000000001</v>
      </c>
      <c r="C11">
        <v>70.870999999999995</v>
      </c>
      <c r="D11">
        <v>100</v>
      </c>
      <c r="E11">
        <v>0.39900000000000002</v>
      </c>
      <c r="F11">
        <v>79.944999999999993</v>
      </c>
      <c r="G11">
        <v>6.68</v>
      </c>
      <c r="H11">
        <v>68.872</v>
      </c>
      <c r="I11">
        <v>72.311000000000007</v>
      </c>
      <c r="J11">
        <v>4.1529999999999996</v>
      </c>
      <c r="K11">
        <v>229.66499999999999</v>
      </c>
      <c r="L11">
        <v>6.0380000000000003</v>
      </c>
      <c r="M11">
        <v>52.728999999999999</v>
      </c>
      <c r="N11">
        <v>5.9539999999999997</v>
      </c>
      <c r="O11">
        <v>0.88300000000000001</v>
      </c>
      <c r="P11">
        <v>0</v>
      </c>
      <c r="Q11">
        <v>18.678999999999998</v>
      </c>
      <c r="R11">
        <v>45.8</v>
      </c>
      <c r="S11">
        <v>11.8</v>
      </c>
    </row>
    <row r="12" spans="1:21" x14ac:dyDescent="0.3">
      <c r="A12" t="s">
        <v>1026</v>
      </c>
      <c r="B12">
        <v>201.381</v>
      </c>
      <c r="C12">
        <v>70.881</v>
      </c>
      <c r="D12">
        <v>100</v>
      </c>
      <c r="E12">
        <v>0.41699999999999998</v>
      </c>
      <c r="F12">
        <v>80.158000000000001</v>
      </c>
      <c r="G12">
        <v>6.71</v>
      </c>
      <c r="H12">
        <v>68.658000000000001</v>
      </c>
      <c r="I12">
        <v>71.95</v>
      </c>
      <c r="J12">
        <v>4.1589999999999998</v>
      </c>
      <c r="K12">
        <v>229.994</v>
      </c>
      <c r="L12">
        <v>6.048</v>
      </c>
      <c r="M12">
        <v>52.648000000000003</v>
      </c>
      <c r="N12">
        <v>5.9580000000000002</v>
      </c>
      <c r="O12">
        <v>0.89800000000000002</v>
      </c>
      <c r="P12">
        <v>0</v>
      </c>
      <c r="Q12">
        <v>18.686</v>
      </c>
      <c r="R12">
        <v>45.8</v>
      </c>
      <c r="S12">
        <v>11.8</v>
      </c>
    </row>
    <row r="13" spans="1:21" x14ac:dyDescent="0.3">
      <c r="A13" t="s">
        <v>1027</v>
      </c>
      <c r="B13">
        <v>201.42500000000001</v>
      </c>
      <c r="C13">
        <v>70.870999999999995</v>
      </c>
      <c r="D13">
        <v>100</v>
      </c>
      <c r="E13">
        <v>0.378</v>
      </c>
      <c r="F13">
        <v>80.661000000000001</v>
      </c>
      <c r="G13">
        <v>6.7030000000000003</v>
      </c>
      <c r="H13">
        <v>68.863</v>
      </c>
      <c r="I13">
        <v>72.254000000000005</v>
      </c>
      <c r="J13">
        <v>4.1520000000000001</v>
      </c>
      <c r="K13">
        <v>229.73099999999999</v>
      </c>
      <c r="L13">
        <v>6.077</v>
      </c>
      <c r="M13">
        <v>52.637999999999998</v>
      </c>
      <c r="N13">
        <v>5.9560000000000004</v>
      </c>
      <c r="O13">
        <v>0.87</v>
      </c>
      <c r="P13">
        <v>0</v>
      </c>
      <c r="Q13">
        <v>18.690000000000001</v>
      </c>
      <c r="R13">
        <v>45.9</v>
      </c>
      <c r="S13">
        <v>11.8</v>
      </c>
    </row>
    <row r="14" spans="1:21" x14ac:dyDescent="0.3">
      <c r="A14" t="s">
        <v>1028</v>
      </c>
      <c r="B14">
        <v>201.14500000000001</v>
      </c>
      <c r="C14">
        <v>70.917000000000002</v>
      </c>
      <c r="D14">
        <v>100</v>
      </c>
      <c r="E14">
        <v>0.39200000000000002</v>
      </c>
      <c r="F14">
        <v>80.658000000000001</v>
      </c>
      <c r="G14">
        <v>7.2069999999999999</v>
      </c>
      <c r="H14">
        <v>68.956999999999994</v>
      </c>
      <c r="I14">
        <v>71.962000000000003</v>
      </c>
      <c r="J14">
        <v>4.1619999999999999</v>
      </c>
      <c r="K14">
        <v>230.10900000000001</v>
      </c>
      <c r="L14">
        <v>6.0490000000000004</v>
      </c>
      <c r="M14">
        <v>52.615000000000002</v>
      </c>
      <c r="N14">
        <v>5.9580000000000002</v>
      </c>
      <c r="O14">
        <v>0.88900000000000001</v>
      </c>
      <c r="P14">
        <v>0</v>
      </c>
      <c r="Q14">
        <v>18.672000000000001</v>
      </c>
      <c r="R14">
        <v>45.9</v>
      </c>
      <c r="S14">
        <v>11.8</v>
      </c>
    </row>
    <row r="15" spans="1:21" x14ac:dyDescent="0.3">
      <c r="A15" t="s">
        <v>1029</v>
      </c>
      <c r="B15">
        <v>201.59800000000001</v>
      </c>
      <c r="C15">
        <v>70.91</v>
      </c>
      <c r="D15">
        <v>100</v>
      </c>
      <c r="E15">
        <v>0.36699999999999999</v>
      </c>
      <c r="F15">
        <v>80.591999999999999</v>
      </c>
      <c r="G15">
        <v>7.0970000000000004</v>
      </c>
      <c r="H15">
        <v>68.888000000000005</v>
      </c>
      <c r="I15">
        <v>72.274000000000001</v>
      </c>
      <c r="J15">
        <v>4.1529999999999996</v>
      </c>
      <c r="K15">
        <v>229.59899999999999</v>
      </c>
      <c r="L15">
        <v>6.0419999999999998</v>
      </c>
      <c r="M15">
        <v>52.569000000000003</v>
      </c>
      <c r="N15">
        <v>5.9530000000000003</v>
      </c>
      <c r="O15">
        <v>0.89400000000000002</v>
      </c>
      <c r="P15">
        <v>0</v>
      </c>
      <c r="Q15">
        <v>18.698</v>
      </c>
      <c r="R15">
        <v>45.9</v>
      </c>
      <c r="S15">
        <v>11.8</v>
      </c>
    </row>
    <row r="16" spans="1:21" x14ac:dyDescent="0.3">
      <c r="A16" t="s">
        <v>1030</v>
      </c>
      <c r="B16">
        <v>201.143</v>
      </c>
      <c r="C16">
        <v>70.924000000000007</v>
      </c>
      <c r="D16">
        <v>100</v>
      </c>
      <c r="E16">
        <v>0.41699999999999998</v>
      </c>
      <c r="F16">
        <v>80.221000000000004</v>
      </c>
      <c r="G16">
        <v>7.2709999999999999</v>
      </c>
      <c r="H16">
        <v>68.950999999999993</v>
      </c>
      <c r="I16">
        <v>72.088999999999999</v>
      </c>
      <c r="J16">
        <v>4.1619999999999999</v>
      </c>
      <c r="K16">
        <v>230.09200000000001</v>
      </c>
      <c r="L16">
        <v>6.157</v>
      </c>
      <c r="M16">
        <v>52.709000000000003</v>
      </c>
      <c r="N16">
        <v>5.9569999999999999</v>
      </c>
      <c r="O16">
        <v>0.86399999999999999</v>
      </c>
      <c r="P16">
        <v>0</v>
      </c>
      <c r="Q16">
        <v>18.690000000000001</v>
      </c>
      <c r="R16">
        <v>45.9</v>
      </c>
      <c r="S16">
        <v>11.8</v>
      </c>
    </row>
    <row r="17" spans="1:19" x14ac:dyDescent="0.3">
      <c r="A17" t="s">
        <v>1031</v>
      </c>
      <c r="B17">
        <v>201.74</v>
      </c>
      <c r="C17">
        <v>70.930000000000007</v>
      </c>
      <c r="D17">
        <v>100</v>
      </c>
      <c r="E17">
        <v>0.371</v>
      </c>
      <c r="F17">
        <v>80.427999999999997</v>
      </c>
      <c r="G17">
        <v>6.6920000000000002</v>
      </c>
      <c r="H17">
        <v>68.727999999999994</v>
      </c>
      <c r="I17">
        <v>72.117999999999995</v>
      </c>
      <c r="J17">
        <v>4.1550000000000002</v>
      </c>
      <c r="K17">
        <v>229.797</v>
      </c>
      <c r="L17">
        <v>6.1959999999999997</v>
      </c>
      <c r="M17">
        <v>52.598999999999997</v>
      </c>
      <c r="N17">
        <v>5.9560000000000004</v>
      </c>
      <c r="O17">
        <v>0.874</v>
      </c>
      <c r="P17">
        <v>0</v>
      </c>
      <c r="Q17">
        <v>18.742000000000001</v>
      </c>
      <c r="R17">
        <v>45.9</v>
      </c>
      <c r="S17">
        <v>11.8</v>
      </c>
    </row>
    <row r="18" spans="1:19" x14ac:dyDescent="0.3">
      <c r="A18" t="s">
        <v>1032</v>
      </c>
      <c r="B18">
        <v>201.65799999999999</v>
      </c>
      <c r="C18">
        <v>70.917000000000002</v>
      </c>
      <c r="D18">
        <v>100</v>
      </c>
      <c r="E18">
        <v>0.435</v>
      </c>
      <c r="F18">
        <v>79.704999999999998</v>
      </c>
      <c r="G18">
        <v>7.0140000000000002</v>
      </c>
      <c r="H18">
        <v>68.972999999999999</v>
      </c>
      <c r="I18">
        <v>72.376999999999995</v>
      </c>
      <c r="J18">
        <v>4.1589999999999998</v>
      </c>
      <c r="K18">
        <v>230.02699999999999</v>
      </c>
      <c r="L18">
        <v>5.9050000000000002</v>
      </c>
      <c r="M18">
        <v>52.732999999999997</v>
      </c>
      <c r="N18">
        <v>5.9560000000000004</v>
      </c>
      <c r="O18">
        <v>0.871</v>
      </c>
      <c r="P18">
        <v>0</v>
      </c>
      <c r="Q18">
        <v>18.754999999999999</v>
      </c>
      <c r="R18">
        <v>45.9</v>
      </c>
      <c r="S18">
        <v>11.8</v>
      </c>
    </row>
    <row r="19" spans="1:19" x14ac:dyDescent="0.3">
      <c r="A19" t="s">
        <v>1033</v>
      </c>
      <c r="B19">
        <v>201.833</v>
      </c>
      <c r="C19">
        <v>70.900999999999996</v>
      </c>
      <c r="D19">
        <v>100</v>
      </c>
      <c r="E19">
        <v>0.374</v>
      </c>
      <c r="F19">
        <v>79.873000000000005</v>
      </c>
      <c r="G19">
        <v>7.5339999999999998</v>
      </c>
      <c r="H19">
        <v>68.685000000000002</v>
      </c>
      <c r="I19">
        <v>72.028000000000006</v>
      </c>
      <c r="J19">
        <v>4.1559999999999997</v>
      </c>
      <c r="K19">
        <v>229.78</v>
      </c>
      <c r="L19">
        <v>6.1529999999999996</v>
      </c>
      <c r="M19">
        <v>52.643999999999998</v>
      </c>
      <c r="N19">
        <v>5.9569999999999999</v>
      </c>
      <c r="O19">
        <v>0.88400000000000001</v>
      </c>
      <c r="P19">
        <v>0</v>
      </c>
      <c r="Q19">
        <v>18.742000000000001</v>
      </c>
      <c r="R19">
        <v>45.8</v>
      </c>
      <c r="S19">
        <v>11.8</v>
      </c>
    </row>
    <row r="20" spans="1:19" x14ac:dyDescent="0.3">
      <c r="A20" t="s">
        <v>1034</v>
      </c>
      <c r="B20">
        <v>201.666</v>
      </c>
      <c r="C20">
        <v>70.903999999999996</v>
      </c>
      <c r="D20">
        <v>100</v>
      </c>
      <c r="E20">
        <v>0.40200000000000002</v>
      </c>
      <c r="F20">
        <v>80.108999999999995</v>
      </c>
      <c r="G20">
        <v>7.17</v>
      </c>
      <c r="H20">
        <v>68.822999999999993</v>
      </c>
      <c r="I20">
        <v>72.376999999999995</v>
      </c>
      <c r="J20">
        <v>4.1580000000000004</v>
      </c>
      <c r="K20">
        <v>230.142</v>
      </c>
      <c r="L20">
        <v>6.1340000000000003</v>
      </c>
      <c r="M20">
        <v>52.593000000000004</v>
      </c>
      <c r="N20">
        <v>5.9539999999999997</v>
      </c>
      <c r="O20">
        <v>0.86899999999999999</v>
      </c>
      <c r="P20">
        <v>0</v>
      </c>
      <c r="Q20">
        <v>18.736000000000001</v>
      </c>
      <c r="R20">
        <v>45.8</v>
      </c>
      <c r="S20">
        <v>11.8</v>
      </c>
    </row>
    <row r="21" spans="1:19" x14ac:dyDescent="0.3">
      <c r="A21" t="s">
        <v>1035</v>
      </c>
      <c r="B21">
        <v>201.63399999999999</v>
      </c>
      <c r="C21">
        <v>70.92</v>
      </c>
      <c r="D21">
        <v>100</v>
      </c>
      <c r="E21">
        <v>0.38200000000000001</v>
      </c>
      <c r="F21">
        <v>79.451999999999998</v>
      </c>
      <c r="G21">
        <v>7.032</v>
      </c>
      <c r="H21">
        <v>68.825999999999993</v>
      </c>
      <c r="I21">
        <v>72.081000000000003</v>
      </c>
      <c r="J21">
        <v>4.1539999999999999</v>
      </c>
      <c r="K21">
        <v>229.76400000000001</v>
      </c>
      <c r="L21">
        <v>6.1150000000000002</v>
      </c>
      <c r="M21">
        <v>52.587000000000003</v>
      </c>
      <c r="N21">
        <v>5.95</v>
      </c>
      <c r="O21">
        <v>0.87</v>
      </c>
      <c r="P21">
        <v>0</v>
      </c>
      <c r="Q21">
        <v>18.773</v>
      </c>
      <c r="R21">
        <v>45.9</v>
      </c>
      <c r="S21">
        <v>11.8</v>
      </c>
    </row>
    <row r="22" spans="1:19" x14ac:dyDescent="0.3">
      <c r="A22" t="s">
        <v>1036</v>
      </c>
      <c r="B22">
        <v>202.13</v>
      </c>
      <c r="C22">
        <v>70.983000000000004</v>
      </c>
      <c r="D22">
        <v>100</v>
      </c>
      <c r="E22">
        <v>0.41799999999999998</v>
      </c>
      <c r="F22">
        <v>78.900000000000006</v>
      </c>
      <c r="G22">
        <v>7.1980000000000004</v>
      </c>
      <c r="H22">
        <v>68.875</v>
      </c>
      <c r="I22">
        <v>72.495999999999995</v>
      </c>
      <c r="J22">
        <v>4.1589999999999998</v>
      </c>
      <c r="K22">
        <v>230.02699999999999</v>
      </c>
      <c r="L22">
        <v>6.109</v>
      </c>
      <c r="M22">
        <v>52.637999999999998</v>
      </c>
      <c r="N22">
        <v>5.9560000000000004</v>
      </c>
      <c r="O22">
        <v>0.89300000000000002</v>
      </c>
      <c r="P22">
        <v>0</v>
      </c>
      <c r="Q22">
        <v>18.757999999999999</v>
      </c>
      <c r="R22">
        <v>45.8</v>
      </c>
      <c r="S22">
        <v>11.8</v>
      </c>
    </row>
    <row r="23" spans="1:19" x14ac:dyDescent="0.3">
      <c r="A23" t="s">
        <v>1037</v>
      </c>
      <c r="B23">
        <v>202.29300000000001</v>
      </c>
      <c r="C23">
        <v>71.048000000000002</v>
      </c>
      <c r="D23">
        <v>100</v>
      </c>
      <c r="E23">
        <v>0.40500000000000003</v>
      </c>
      <c r="F23">
        <v>80.138999999999996</v>
      </c>
      <c r="G23">
        <v>7.2160000000000002</v>
      </c>
      <c r="H23">
        <v>68.86</v>
      </c>
      <c r="I23">
        <v>72.11</v>
      </c>
      <c r="J23">
        <v>4.157</v>
      </c>
      <c r="K23">
        <v>229.78</v>
      </c>
      <c r="L23">
        <v>6.0979999999999999</v>
      </c>
      <c r="M23">
        <v>52.743000000000002</v>
      </c>
      <c r="N23">
        <v>5.9580000000000002</v>
      </c>
      <c r="O23">
        <v>0.88400000000000001</v>
      </c>
      <c r="P23">
        <v>0</v>
      </c>
      <c r="Q23">
        <v>18.725999999999999</v>
      </c>
      <c r="R23">
        <v>45.8</v>
      </c>
      <c r="S23">
        <v>11.8</v>
      </c>
    </row>
    <row r="24" spans="1:19" x14ac:dyDescent="0.3">
      <c r="A24" t="s">
        <v>1038</v>
      </c>
      <c r="B24">
        <v>202.25200000000001</v>
      </c>
      <c r="C24">
        <v>71.028999999999996</v>
      </c>
      <c r="D24">
        <v>100</v>
      </c>
      <c r="E24">
        <v>0.38400000000000001</v>
      </c>
      <c r="F24">
        <v>80.400999999999996</v>
      </c>
      <c r="G24">
        <v>6.7750000000000004</v>
      </c>
      <c r="H24">
        <v>68.983000000000004</v>
      </c>
      <c r="I24">
        <v>72.512</v>
      </c>
      <c r="J24">
        <v>4.1589999999999998</v>
      </c>
      <c r="K24">
        <v>230.059</v>
      </c>
      <c r="L24">
        <v>6.1040000000000001</v>
      </c>
      <c r="M24">
        <v>52.767000000000003</v>
      </c>
      <c r="N24">
        <v>5.9550000000000001</v>
      </c>
      <c r="O24">
        <v>0.873</v>
      </c>
      <c r="P24">
        <v>0</v>
      </c>
      <c r="Q24">
        <v>18.72</v>
      </c>
      <c r="R24">
        <v>45.8</v>
      </c>
      <c r="S24">
        <v>11.8</v>
      </c>
    </row>
    <row r="25" spans="1:19" ht="15" thickBot="1" x14ac:dyDescent="0.35">
      <c r="A25" t="s">
        <v>1039</v>
      </c>
      <c r="B25">
        <v>201.643</v>
      </c>
      <c r="C25">
        <v>71.028999999999996</v>
      </c>
      <c r="D25">
        <v>100</v>
      </c>
      <c r="E25">
        <v>0.41399999999999998</v>
      </c>
      <c r="F25">
        <v>80.628</v>
      </c>
      <c r="G25">
        <v>7.2290000000000001</v>
      </c>
      <c r="H25">
        <v>68.655000000000001</v>
      </c>
      <c r="I25">
        <v>72.228999999999999</v>
      </c>
      <c r="J25">
        <v>4.157</v>
      </c>
      <c r="K25">
        <v>229.87899999999999</v>
      </c>
      <c r="L25">
        <v>6.1079999999999997</v>
      </c>
      <c r="M25">
        <v>52.661999999999999</v>
      </c>
      <c r="N25">
        <v>6.1459999999999999</v>
      </c>
      <c r="O25">
        <v>0.877</v>
      </c>
      <c r="P25">
        <v>0</v>
      </c>
      <c r="Q25">
        <v>18.733000000000001</v>
      </c>
      <c r="R25">
        <v>45.8</v>
      </c>
      <c r="S25">
        <v>11.8</v>
      </c>
    </row>
    <row r="26" spans="1:19" ht="15" thickBot="1" x14ac:dyDescent="0.35">
      <c r="A26" t="s">
        <v>30</v>
      </c>
      <c r="B26" s="1">
        <f t="shared" ref="B26:S26" si="0">AVERAGE(B6:B25)</f>
        <v>201.46559999999999</v>
      </c>
      <c r="C26" s="1">
        <f t="shared" si="0"/>
        <v>70.926400000000001</v>
      </c>
      <c r="D26" s="1">
        <f t="shared" si="0"/>
        <v>100</v>
      </c>
      <c r="E26" s="10">
        <f t="shared" si="0"/>
        <v>0.39919999999999994</v>
      </c>
      <c r="F26" s="1">
        <f t="shared" si="0"/>
        <v>80.069050000000004</v>
      </c>
      <c r="G26" s="1">
        <f t="shared" si="0"/>
        <v>7.0034500000000008</v>
      </c>
      <c r="H26" s="10">
        <f t="shared" si="0"/>
        <v>68.825349999999986</v>
      </c>
      <c r="I26" s="1">
        <f t="shared" si="0"/>
        <v>72.135549999999995</v>
      </c>
      <c r="J26" s="8">
        <f t="shared" si="0"/>
        <v>4.1570999999999998</v>
      </c>
      <c r="K26" s="1">
        <f t="shared" si="0"/>
        <v>229.9034</v>
      </c>
      <c r="L26" s="1">
        <f t="shared" si="0"/>
        <v>6.0776500000000002</v>
      </c>
      <c r="M26" s="1">
        <f t="shared" si="0"/>
        <v>52.664400000000001</v>
      </c>
      <c r="N26" s="1">
        <f t="shared" si="0"/>
        <v>5.9649000000000001</v>
      </c>
      <c r="O26" s="1">
        <f t="shared" si="0"/>
        <v>0.87965000000000004</v>
      </c>
      <c r="P26" s="1">
        <f t="shared" si="0"/>
        <v>0</v>
      </c>
      <c r="Q26" s="1">
        <f t="shared" si="0"/>
        <v>18.702300000000001</v>
      </c>
      <c r="R26" s="1">
        <f t="shared" si="0"/>
        <v>45.859999999999978</v>
      </c>
      <c r="S26" s="1">
        <f t="shared" si="0"/>
        <v>11.800000000000004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8A18-23A7-4CCF-AF77-ED03DB77BC99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0.65153935185185186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2.2657619819122399</v>
      </c>
      <c r="M2" s="8">
        <f>100*(R26/(R26+Q26))</f>
        <v>70.1147912057111</v>
      </c>
      <c r="O2" s="9">
        <f>100*((E26*C2)/((E26*C2)+(K2*E2)))</f>
        <v>14.403131219058254</v>
      </c>
      <c r="Q2" s="10">
        <f>100*J26*(1/(((C2/3.6)*E26)+((E2/3.6)*K2)))</f>
        <v>16.010506735764334</v>
      </c>
      <c r="S2" s="6">
        <v>3.54</v>
      </c>
      <c r="U2" s="10">
        <f>100*((((G26*0.001*60)*(C26-D26)*(S2/3.6)))/(((C2/3.6)*E26)+((E2/3.6)*K2)))</f>
        <v>27.555081728666686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730</v>
      </c>
      <c r="B6">
        <v>232.34200000000001</v>
      </c>
      <c r="C6">
        <v>70.561999999999998</v>
      </c>
      <c r="D6">
        <v>50.802</v>
      </c>
      <c r="E6">
        <v>0.41899999999999998</v>
      </c>
      <c r="F6">
        <v>80.653999999999996</v>
      </c>
      <c r="G6">
        <v>8.7509999999999994</v>
      </c>
      <c r="H6">
        <v>75.11</v>
      </c>
      <c r="I6">
        <v>70.647999999999996</v>
      </c>
      <c r="J6">
        <v>5.8920000000000003</v>
      </c>
      <c r="K6">
        <v>229.94399999999999</v>
      </c>
      <c r="L6">
        <v>8.4480000000000004</v>
      </c>
      <c r="M6">
        <v>52.457000000000001</v>
      </c>
      <c r="N6">
        <v>8.4870000000000001</v>
      </c>
      <c r="O6">
        <v>0.89800000000000002</v>
      </c>
      <c r="P6">
        <v>0</v>
      </c>
      <c r="Q6">
        <v>20.715</v>
      </c>
      <c r="R6">
        <v>49.8</v>
      </c>
      <c r="S6">
        <v>17.63</v>
      </c>
    </row>
    <row r="7" spans="1:21" x14ac:dyDescent="0.3">
      <c r="A7" t="s">
        <v>731</v>
      </c>
      <c r="B7">
        <v>232.41399999999999</v>
      </c>
      <c r="C7">
        <v>70.569000000000003</v>
      </c>
      <c r="D7">
        <v>50.93</v>
      </c>
      <c r="E7">
        <v>0.45700000000000002</v>
      </c>
      <c r="F7">
        <v>80.122</v>
      </c>
      <c r="G7">
        <v>8.4440000000000008</v>
      </c>
      <c r="H7">
        <v>75.200999999999993</v>
      </c>
      <c r="I7">
        <v>72.314999999999998</v>
      </c>
      <c r="J7">
        <v>5.8879999999999999</v>
      </c>
      <c r="K7">
        <v>230.10900000000001</v>
      </c>
      <c r="L7">
        <v>8.4350000000000005</v>
      </c>
      <c r="M7">
        <v>52.491</v>
      </c>
      <c r="N7">
        <v>8.4909999999999997</v>
      </c>
      <c r="O7">
        <v>0.88400000000000001</v>
      </c>
      <c r="P7">
        <v>0</v>
      </c>
      <c r="Q7">
        <v>20.756</v>
      </c>
      <c r="R7">
        <v>49.7</v>
      </c>
      <c r="S7">
        <v>17.63</v>
      </c>
    </row>
    <row r="8" spans="1:21" x14ac:dyDescent="0.3">
      <c r="A8" t="s">
        <v>732</v>
      </c>
      <c r="B8">
        <v>232.09899999999999</v>
      </c>
      <c r="C8">
        <v>70.628</v>
      </c>
      <c r="D8">
        <v>50.91</v>
      </c>
      <c r="E8">
        <v>0.47299999999999998</v>
      </c>
      <c r="F8">
        <v>80.861000000000004</v>
      </c>
      <c r="G8">
        <v>8.9719999999999995</v>
      </c>
      <c r="H8">
        <v>75.251000000000005</v>
      </c>
      <c r="I8">
        <v>72.307000000000002</v>
      </c>
      <c r="J8">
        <v>5.8920000000000003</v>
      </c>
      <c r="K8">
        <v>230.191</v>
      </c>
      <c r="L8">
        <v>8.4429999999999996</v>
      </c>
      <c r="M8">
        <v>52.445</v>
      </c>
      <c r="N8">
        <v>8.4890000000000008</v>
      </c>
      <c r="O8">
        <v>0.871</v>
      </c>
      <c r="P8">
        <v>0</v>
      </c>
      <c r="Q8">
        <v>20.79</v>
      </c>
      <c r="R8">
        <v>49.8</v>
      </c>
      <c r="S8">
        <v>17.63</v>
      </c>
    </row>
    <row r="9" spans="1:21" x14ac:dyDescent="0.3">
      <c r="A9" t="s">
        <v>733</v>
      </c>
      <c r="B9">
        <v>232.292</v>
      </c>
      <c r="C9">
        <v>70.69</v>
      </c>
      <c r="D9">
        <v>50.92</v>
      </c>
      <c r="E9">
        <v>0.46800000000000003</v>
      </c>
      <c r="F9">
        <v>80.180999999999997</v>
      </c>
      <c r="G9">
        <v>8.9009999999999998</v>
      </c>
      <c r="H9">
        <v>75.054000000000002</v>
      </c>
      <c r="I9">
        <v>72.41</v>
      </c>
      <c r="J9">
        <v>5.8860000000000001</v>
      </c>
      <c r="K9">
        <v>229.928</v>
      </c>
      <c r="L9">
        <v>8.4190000000000005</v>
      </c>
      <c r="M9">
        <v>52.350999999999999</v>
      </c>
      <c r="N9">
        <v>8.4969999999999999</v>
      </c>
      <c r="O9">
        <v>0.90500000000000003</v>
      </c>
      <c r="P9">
        <v>0</v>
      </c>
      <c r="Q9">
        <v>20.835999999999999</v>
      </c>
      <c r="R9">
        <v>49.7</v>
      </c>
      <c r="S9">
        <v>17.63</v>
      </c>
    </row>
    <row r="10" spans="1:21" x14ac:dyDescent="0.3">
      <c r="A10" t="s">
        <v>734</v>
      </c>
      <c r="B10">
        <v>232.065</v>
      </c>
      <c r="C10">
        <v>70.72</v>
      </c>
      <c r="D10">
        <v>50.963000000000001</v>
      </c>
      <c r="E10">
        <v>0.51800000000000002</v>
      </c>
      <c r="F10">
        <v>80.549000000000007</v>
      </c>
      <c r="G10">
        <v>9.2210000000000001</v>
      </c>
      <c r="H10">
        <v>75.242000000000004</v>
      </c>
      <c r="I10">
        <v>72.295000000000002</v>
      </c>
      <c r="J10">
        <v>5.8929999999999998</v>
      </c>
      <c r="K10">
        <v>230.17400000000001</v>
      </c>
      <c r="L10">
        <v>8.4420000000000002</v>
      </c>
      <c r="M10">
        <v>52.472999999999999</v>
      </c>
      <c r="N10">
        <v>8.4879999999999995</v>
      </c>
      <c r="O10">
        <v>0.875</v>
      </c>
      <c r="P10">
        <v>0</v>
      </c>
      <c r="Q10">
        <v>20.829000000000001</v>
      </c>
      <c r="R10">
        <v>49.7</v>
      </c>
      <c r="S10">
        <v>17.63</v>
      </c>
    </row>
    <row r="11" spans="1:21" x14ac:dyDescent="0.3">
      <c r="A11" t="s">
        <v>735</v>
      </c>
      <c r="B11">
        <v>233.15899999999999</v>
      </c>
      <c r="C11">
        <v>70.667000000000002</v>
      </c>
      <c r="D11">
        <v>50.981999999999999</v>
      </c>
      <c r="E11">
        <v>0.49199999999999999</v>
      </c>
      <c r="F11">
        <v>79.61</v>
      </c>
      <c r="G11">
        <v>8.8339999999999996</v>
      </c>
      <c r="H11">
        <v>75.099000000000004</v>
      </c>
      <c r="I11">
        <v>72.606999999999999</v>
      </c>
      <c r="J11">
        <v>5.8819999999999997</v>
      </c>
      <c r="K11">
        <v>229.87899999999999</v>
      </c>
      <c r="L11">
        <v>8.4190000000000005</v>
      </c>
      <c r="M11">
        <v>52.404000000000003</v>
      </c>
      <c r="N11">
        <v>8.49</v>
      </c>
      <c r="O11">
        <v>0.90800000000000003</v>
      </c>
      <c r="P11">
        <v>0</v>
      </c>
      <c r="Q11">
        <v>20.864999999999998</v>
      </c>
      <c r="R11">
        <v>49.7</v>
      </c>
      <c r="S11">
        <v>17.63</v>
      </c>
    </row>
    <row r="12" spans="1:21" x14ac:dyDescent="0.3">
      <c r="A12" t="s">
        <v>736</v>
      </c>
      <c r="B12">
        <v>232.63800000000001</v>
      </c>
      <c r="C12">
        <v>70.671000000000006</v>
      </c>
      <c r="D12">
        <v>50.985999999999997</v>
      </c>
      <c r="E12">
        <v>0.503</v>
      </c>
      <c r="F12">
        <v>80.745999999999995</v>
      </c>
      <c r="G12">
        <v>9.18</v>
      </c>
      <c r="H12">
        <v>75.141000000000005</v>
      </c>
      <c r="I12">
        <v>72.228999999999999</v>
      </c>
      <c r="J12">
        <v>5.8959999999999999</v>
      </c>
      <c r="K12">
        <v>230.191</v>
      </c>
      <c r="L12">
        <v>8.423</v>
      </c>
      <c r="M12">
        <v>52.515999999999998</v>
      </c>
      <c r="N12">
        <v>8.4879999999999995</v>
      </c>
      <c r="O12">
        <v>0.879</v>
      </c>
      <c r="P12">
        <v>0</v>
      </c>
      <c r="Q12">
        <v>20.856999999999999</v>
      </c>
      <c r="R12">
        <v>49.6</v>
      </c>
      <c r="S12">
        <v>17.63</v>
      </c>
    </row>
    <row r="13" spans="1:21" x14ac:dyDescent="0.3">
      <c r="A13" t="s">
        <v>737</v>
      </c>
      <c r="B13">
        <v>233.23500000000001</v>
      </c>
      <c r="C13">
        <v>70.703999999999994</v>
      </c>
      <c r="D13">
        <v>51.639000000000003</v>
      </c>
      <c r="E13">
        <v>0.48699999999999999</v>
      </c>
      <c r="F13">
        <v>80.792000000000002</v>
      </c>
      <c r="G13">
        <v>9.016</v>
      </c>
      <c r="H13">
        <v>75.289000000000001</v>
      </c>
      <c r="I13">
        <v>72.585999999999999</v>
      </c>
      <c r="J13">
        <v>5.8860000000000001</v>
      </c>
      <c r="K13">
        <v>229.94399999999999</v>
      </c>
      <c r="L13">
        <v>8.4149999999999991</v>
      </c>
      <c r="M13">
        <v>52.527999999999999</v>
      </c>
      <c r="N13">
        <v>8.4879999999999995</v>
      </c>
      <c r="O13">
        <v>0.90200000000000002</v>
      </c>
      <c r="P13">
        <v>0</v>
      </c>
      <c r="Q13">
        <v>20.907</v>
      </c>
      <c r="R13">
        <v>49.7</v>
      </c>
      <c r="S13">
        <v>17.63</v>
      </c>
    </row>
    <row r="14" spans="1:21" x14ac:dyDescent="0.3">
      <c r="A14" t="s">
        <v>738</v>
      </c>
      <c r="B14">
        <v>233.26</v>
      </c>
      <c r="C14">
        <v>70.694000000000003</v>
      </c>
      <c r="D14">
        <v>51.564</v>
      </c>
      <c r="E14">
        <v>0.45600000000000002</v>
      </c>
      <c r="F14">
        <v>80.213999999999999</v>
      </c>
      <c r="G14">
        <v>8.9169999999999998</v>
      </c>
      <c r="H14">
        <v>75.507000000000005</v>
      </c>
      <c r="I14">
        <v>72.281999999999996</v>
      </c>
      <c r="J14">
        <v>5.8929999999999998</v>
      </c>
      <c r="K14">
        <v>230.17400000000001</v>
      </c>
      <c r="L14">
        <v>8.4269999999999996</v>
      </c>
      <c r="M14">
        <v>52.42</v>
      </c>
      <c r="N14">
        <v>8.4879999999999995</v>
      </c>
      <c r="O14">
        <v>0.88700000000000001</v>
      </c>
      <c r="P14">
        <v>0</v>
      </c>
      <c r="Q14">
        <v>21.027000000000001</v>
      </c>
      <c r="R14">
        <v>49.5</v>
      </c>
      <c r="S14">
        <v>17.63</v>
      </c>
    </row>
    <row r="15" spans="1:21" x14ac:dyDescent="0.3">
      <c r="A15" t="s">
        <v>739</v>
      </c>
      <c r="B15">
        <v>232.99799999999999</v>
      </c>
      <c r="C15">
        <v>70.677000000000007</v>
      </c>
      <c r="D15">
        <v>51.57</v>
      </c>
      <c r="E15">
        <v>0.435</v>
      </c>
      <c r="F15">
        <v>80.914000000000001</v>
      </c>
      <c r="G15">
        <v>8.9169999999999998</v>
      </c>
      <c r="H15">
        <v>75.561999999999998</v>
      </c>
      <c r="I15">
        <v>72.566000000000003</v>
      </c>
      <c r="J15">
        <v>5.8849999999999998</v>
      </c>
      <c r="K15">
        <v>229.82900000000001</v>
      </c>
      <c r="L15">
        <v>8.4149999999999991</v>
      </c>
      <c r="M15">
        <v>52.558</v>
      </c>
      <c r="N15">
        <v>8.4890000000000008</v>
      </c>
      <c r="O15">
        <v>0.90400000000000003</v>
      </c>
      <c r="P15">
        <v>0</v>
      </c>
      <c r="Q15">
        <v>21.146999999999998</v>
      </c>
      <c r="R15">
        <v>49.6</v>
      </c>
      <c r="S15">
        <v>17.63</v>
      </c>
    </row>
    <row r="16" spans="1:21" x14ac:dyDescent="0.3">
      <c r="A16" t="s">
        <v>740</v>
      </c>
      <c r="B16">
        <v>233.23099999999999</v>
      </c>
      <c r="C16">
        <v>70.789000000000001</v>
      </c>
      <c r="D16">
        <v>51.744999999999997</v>
      </c>
      <c r="E16">
        <v>0.379</v>
      </c>
      <c r="F16">
        <v>79.087000000000003</v>
      </c>
      <c r="G16">
        <v>8.4719999999999995</v>
      </c>
      <c r="H16">
        <v>75.816999999999993</v>
      </c>
      <c r="I16">
        <v>72.459000000000003</v>
      </c>
      <c r="J16">
        <v>5.8929999999999998</v>
      </c>
      <c r="K16">
        <v>230.17400000000001</v>
      </c>
      <c r="L16">
        <v>8.4339999999999993</v>
      </c>
      <c r="M16">
        <v>52.39</v>
      </c>
      <c r="N16">
        <v>8.4879999999999995</v>
      </c>
      <c r="O16">
        <v>0.88700000000000001</v>
      </c>
      <c r="P16">
        <v>0</v>
      </c>
      <c r="Q16">
        <v>21.286999999999999</v>
      </c>
      <c r="R16">
        <v>49.5</v>
      </c>
      <c r="S16">
        <v>17.63</v>
      </c>
    </row>
    <row r="17" spans="1:19" x14ac:dyDescent="0.3">
      <c r="A17" t="s">
        <v>741</v>
      </c>
      <c r="B17">
        <v>233.18</v>
      </c>
      <c r="C17">
        <v>70.789000000000001</v>
      </c>
      <c r="D17">
        <v>51.889000000000003</v>
      </c>
      <c r="E17">
        <v>0.36099999999999999</v>
      </c>
      <c r="F17">
        <v>81.180000000000007</v>
      </c>
      <c r="G17">
        <v>8.9369999999999994</v>
      </c>
      <c r="H17">
        <v>75.676000000000002</v>
      </c>
      <c r="I17">
        <v>72.462999999999994</v>
      </c>
      <c r="J17">
        <v>5.883</v>
      </c>
      <c r="K17">
        <v>229.81299999999999</v>
      </c>
      <c r="L17">
        <v>8.423</v>
      </c>
      <c r="M17">
        <v>52.488999999999997</v>
      </c>
      <c r="N17">
        <v>8.4879999999999995</v>
      </c>
      <c r="O17">
        <v>0.876</v>
      </c>
      <c r="P17">
        <v>0</v>
      </c>
      <c r="Q17">
        <v>21.385000000000002</v>
      </c>
      <c r="R17">
        <v>49.4</v>
      </c>
      <c r="S17">
        <v>17.63</v>
      </c>
    </row>
    <row r="18" spans="1:19" x14ac:dyDescent="0.3">
      <c r="A18" t="s">
        <v>742</v>
      </c>
      <c r="B18">
        <v>233.63499999999999</v>
      </c>
      <c r="C18">
        <v>70.814999999999998</v>
      </c>
      <c r="D18">
        <v>51.908999999999999</v>
      </c>
      <c r="E18">
        <v>0.38500000000000001</v>
      </c>
      <c r="F18">
        <v>80.799000000000007</v>
      </c>
      <c r="G18">
        <v>9.3390000000000004</v>
      </c>
      <c r="H18">
        <v>75.563999999999993</v>
      </c>
      <c r="I18">
        <v>72.668000000000006</v>
      </c>
      <c r="J18">
        <v>5.8949999999999996</v>
      </c>
      <c r="K18">
        <v>230.191</v>
      </c>
      <c r="L18">
        <v>8.4459999999999997</v>
      </c>
      <c r="M18">
        <v>52.466999999999999</v>
      </c>
      <c r="N18">
        <v>8.4920000000000009</v>
      </c>
      <c r="O18">
        <v>0.91</v>
      </c>
      <c r="P18">
        <v>0</v>
      </c>
      <c r="Q18">
        <v>21.425999999999998</v>
      </c>
      <c r="R18">
        <v>49.4</v>
      </c>
      <c r="S18">
        <v>17.63</v>
      </c>
    </row>
    <row r="19" spans="1:19" x14ac:dyDescent="0.3">
      <c r="A19" t="s">
        <v>743</v>
      </c>
      <c r="B19">
        <v>233.58600000000001</v>
      </c>
      <c r="C19">
        <v>70.661000000000001</v>
      </c>
      <c r="D19">
        <v>52.027000000000001</v>
      </c>
      <c r="E19">
        <v>0.36799999999999999</v>
      </c>
      <c r="F19">
        <v>81.123999999999995</v>
      </c>
      <c r="G19">
        <v>9.1440000000000001</v>
      </c>
      <c r="H19">
        <v>75.459000000000003</v>
      </c>
      <c r="I19">
        <v>72.385000000000005</v>
      </c>
      <c r="J19">
        <v>5.8879999999999999</v>
      </c>
      <c r="K19">
        <v>229.73099999999999</v>
      </c>
      <c r="L19">
        <v>8.4280000000000008</v>
      </c>
      <c r="M19">
        <v>52.515999999999998</v>
      </c>
      <c r="N19">
        <v>8.4960000000000004</v>
      </c>
      <c r="O19">
        <v>0.879</v>
      </c>
      <c r="P19">
        <v>0</v>
      </c>
      <c r="Q19">
        <v>21.39</v>
      </c>
      <c r="R19">
        <v>49.3</v>
      </c>
      <c r="S19">
        <v>17.63</v>
      </c>
    </row>
    <row r="20" spans="1:19" x14ac:dyDescent="0.3">
      <c r="A20" t="s">
        <v>744</v>
      </c>
      <c r="B20">
        <v>233.81100000000001</v>
      </c>
      <c r="C20">
        <v>70.822000000000003</v>
      </c>
      <c r="D20">
        <v>52.164999999999999</v>
      </c>
      <c r="E20">
        <v>0.39</v>
      </c>
      <c r="F20">
        <v>80.834999999999994</v>
      </c>
      <c r="G20">
        <v>8.8810000000000002</v>
      </c>
      <c r="H20">
        <v>75.340999999999994</v>
      </c>
      <c r="I20">
        <v>72.688999999999993</v>
      </c>
      <c r="J20">
        <v>5.8940000000000001</v>
      </c>
      <c r="K20">
        <v>230.17400000000001</v>
      </c>
      <c r="L20">
        <v>8.4410000000000007</v>
      </c>
      <c r="M20">
        <v>52.405999999999999</v>
      </c>
      <c r="N20">
        <v>8.4849999999999994</v>
      </c>
      <c r="O20">
        <v>0.90900000000000003</v>
      </c>
      <c r="P20">
        <v>0</v>
      </c>
      <c r="Q20">
        <v>21.321000000000002</v>
      </c>
      <c r="R20">
        <v>49.4</v>
      </c>
      <c r="S20">
        <v>17.63</v>
      </c>
    </row>
    <row r="21" spans="1:19" x14ac:dyDescent="0.3">
      <c r="A21" t="s">
        <v>745</v>
      </c>
      <c r="B21">
        <v>233.56200000000001</v>
      </c>
      <c r="C21">
        <v>70.781999999999996</v>
      </c>
      <c r="D21">
        <v>52.295999999999999</v>
      </c>
      <c r="E21">
        <v>0.40400000000000003</v>
      </c>
      <c r="F21">
        <v>81.305000000000007</v>
      </c>
      <c r="G21">
        <v>9.2889999999999997</v>
      </c>
      <c r="H21">
        <v>75.424000000000007</v>
      </c>
      <c r="I21">
        <v>72.290999999999997</v>
      </c>
      <c r="J21">
        <v>5.8860000000000001</v>
      </c>
      <c r="K21">
        <v>229.82900000000001</v>
      </c>
      <c r="L21">
        <v>8.4209999999999994</v>
      </c>
      <c r="M21">
        <v>52.573</v>
      </c>
      <c r="N21">
        <v>8.4949999999999992</v>
      </c>
      <c r="O21">
        <v>0.89</v>
      </c>
      <c r="P21">
        <v>0</v>
      </c>
      <c r="Q21">
        <v>21.367999999999999</v>
      </c>
      <c r="R21">
        <v>49.4</v>
      </c>
      <c r="S21">
        <v>17.63</v>
      </c>
    </row>
    <row r="22" spans="1:19" x14ac:dyDescent="0.3">
      <c r="A22" t="s">
        <v>746</v>
      </c>
      <c r="B22">
        <v>234.10499999999999</v>
      </c>
      <c r="C22">
        <v>70.759</v>
      </c>
      <c r="D22">
        <v>52.395000000000003</v>
      </c>
      <c r="E22">
        <v>0.45200000000000001</v>
      </c>
      <c r="F22">
        <v>80.674000000000007</v>
      </c>
      <c r="G22">
        <v>8.9139999999999997</v>
      </c>
      <c r="H22">
        <v>75.569999999999993</v>
      </c>
      <c r="I22">
        <v>72.956000000000003</v>
      </c>
      <c r="J22">
        <v>5.8959999999999999</v>
      </c>
      <c r="K22">
        <v>230.10900000000001</v>
      </c>
      <c r="L22">
        <v>8.4220000000000006</v>
      </c>
      <c r="M22">
        <v>52.567</v>
      </c>
      <c r="N22">
        <v>8.5020000000000007</v>
      </c>
      <c r="O22">
        <v>0.89200000000000002</v>
      </c>
      <c r="P22">
        <v>0</v>
      </c>
      <c r="Q22">
        <v>21.346</v>
      </c>
      <c r="R22">
        <v>49.3</v>
      </c>
      <c r="S22">
        <v>17.63</v>
      </c>
    </row>
    <row r="23" spans="1:19" x14ac:dyDescent="0.3">
      <c r="A23" t="s">
        <v>747</v>
      </c>
      <c r="B23">
        <v>234.154</v>
      </c>
      <c r="C23">
        <v>70.786000000000001</v>
      </c>
      <c r="D23">
        <v>52.369</v>
      </c>
      <c r="E23">
        <v>0.48899999999999999</v>
      </c>
      <c r="F23">
        <v>79.688999999999993</v>
      </c>
      <c r="G23">
        <v>9.0470000000000006</v>
      </c>
      <c r="H23">
        <v>75.625</v>
      </c>
      <c r="I23">
        <v>72.41</v>
      </c>
      <c r="J23">
        <v>5.8860000000000001</v>
      </c>
      <c r="K23">
        <v>229.91200000000001</v>
      </c>
      <c r="L23">
        <v>8.6270000000000007</v>
      </c>
      <c r="M23">
        <v>52.497999999999998</v>
      </c>
      <c r="N23">
        <v>8.4990000000000006</v>
      </c>
      <c r="O23">
        <v>0.89300000000000002</v>
      </c>
      <c r="P23">
        <v>0</v>
      </c>
      <c r="Q23">
        <v>21.335000000000001</v>
      </c>
      <c r="R23">
        <v>49.4</v>
      </c>
      <c r="S23">
        <v>17.63</v>
      </c>
    </row>
    <row r="24" spans="1:19" x14ac:dyDescent="0.3">
      <c r="A24" t="s">
        <v>748</v>
      </c>
      <c r="B24">
        <v>234.13399999999999</v>
      </c>
      <c r="C24">
        <v>70.759</v>
      </c>
      <c r="D24">
        <v>52.484000000000002</v>
      </c>
      <c r="E24">
        <v>0.502</v>
      </c>
      <c r="F24">
        <v>81.173000000000002</v>
      </c>
      <c r="G24">
        <v>9.5660000000000007</v>
      </c>
      <c r="H24">
        <v>75.572999999999993</v>
      </c>
      <c r="I24">
        <v>72.677000000000007</v>
      </c>
      <c r="J24">
        <v>5.8949999999999996</v>
      </c>
      <c r="K24">
        <v>230.35499999999999</v>
      </c>
      <c r="L24">
        <v>8.6389999999999993</v>
      </c>
      <c r="M24">
        <v>52.481000000000002</v>
      </c>
      <c r="N24">
        <v>8.4949999999999992</v>
      </c>
      <c r="O24">
        <v>0.88300000000000001</v>
      </c>
      <c r="P24">
        <v>0</v>
      </c>
      <c r="Q24">
        <v>21.303999999999998</v>
      </c>
      <c r="R24">
        <v>49.4</v>
      </c>
      <c r="S24">
        <v>17.63</v>
      </c>
    </row>
    <row r="25" spans="1:19" ht="15" thickBot="1" x14ac:dyDescent="0.35">
      <c r="A25" t="s">
        <v>749</v>
      </c>
      <c r="B25">
        <v>234.13499999999999</v>
      </c>
      <c r="C25">
        <v>70.795000000000002</v>
      </c>
      <c r="D25">
        <v>52.588999999999999</v>
      </c>
      <c r="E25">
        <v>0.496</v>
      </c>
      <c r="F25">
        <v>81.748000000000005</v>
      </c>
      <c r="G25">
        <v>9.5329999999999995</v>
      </c>
      <c r="H25">
        <v>75.53</v>
      </c>
      <c r="I25">
        <v>72.606999999999999</v>
      </c>
      <c r="J25">
        <v>5.8840000000000003</v>
      </c>
      <c r="K25">
        <v>229.91200000000001</v>
      </c>
      <c r="L25">
        <v>8.6180000000000003</v>
      </c>
      <c r="M25">
        <v>52.493000000000002</v>
      </c>
      <c r="N25">
        <v>8.4930000000000003</v>
      </c>
      <c r="O25">
        <v>0.90300000000000002</v>
      </c>
      <c r="P25">
        <v>0</v>
      </c>
      <c r="Q25">
        <v>21.335000000000001</v>
      </c>
      <c r="R25">
        <v>49.3</v>
      </c>
      <c r="S25">
        <v>17.63</v>
      </c>
    </row>
    <row r="26" spans="1:19" ht="15" thickBot="1" x14ac:dyDescent="0.35">
      <c r="A26" t="s">
        <v>30</v>
      </c>
      <c r="B26" s="1">
        <f t="shared" ref="B26:S26" si="0">AVERAGE(B6:B25)</f>
        <v>233.20175</v>
      </c>
      <c r="C26" s="1">
        <f t="shared" si="0"/>
        <v>70.716950000000011</v>
      </c>
      <c r="D26" s="1">
        <f t="shared" si="0"/>
        <v>51.656700000000001</v>
      </c>
      <c r="E26" s="10">
        <f t="shared" si="0"/>
        <v>0.44669999999999999</v>
      </c>
      <c r="F26" s="1">
        <f t="shared" si="0"/>
        <v>80.612850000000009</v>
      </c>
      <c r="G26" s="1">
        <f t="shared" si="0"/>
        <v>9.0137499999999982</v>
      </c>
      <c r="H26" s="10">
        <f t="shared" si="0"/>
        <v>75.401749999999993</v>
      </c>
      <c r="I26" s="1">
        <f t="shared" si="0"/>
        <v>72.392499999999984</v>
      </c>
      <c r="J26" s="8">
        <f t="shared" si="0"/>
        <v>5.8896499999999996</v>
      </c>
      <c r="K26" s="1">
        <f t="shared" si="0"/>
        <v>230.02815000000001</v>
      </c>
      <c r="L26" s="1">
        <f t="shared" si="0"/>
        <v>8.4592500000000008</v>
      </c>
      <c r="M26" s="1">
        <f t="shared" si="0"/>
        <v>52.476149999999997</v>
      </c>
      <c r="N26" s="1">
        <f t="shared" si="0"/>
        <v>8.4914000000000005</v>
      </c>
      <c r="O26" s="1">
        <f t="shared" si="0"/>
        <v>0.89174999999999982</v>
      </c>
      <c r="P26" s="1">
        <f t="shared" si="0"/>
        <v>0</v>
      </c>
      <c r="Q26" s="1">
        <f t="shared" si="0"/>
        <v>21.1113</v>
      </c>
      <c r="R26" s="1">
        <f t="shared" si="0"/>
        <v>49.529999999999987</v>
      </c>
      <c r="S26" s="1">
        <f t="shared" si="0"/>
        <v>17.63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4D5A-4254-4684-87A0-9BE34B7ED426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0.65216435185185184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2.4700549439047368</v>
      </c>
      <c r="M2" s="8">
        <f>100*(R26/(R26+Q26))</f>
        <v>69.895595957194274</v>
      </c>
      <c r="O2" s="9">
        <f>100*((E26*C2)/((E26*C2)+(K2*E2)))</f>
        <v>14.437881683964893</v>
      </c>
      <c r="Q2" s="10">
        <f>100*J26*(1/(((C2/3.6)*E26)+((E2/3.6)*K2)))</f>
        <v>19.69589378102178</v>
      </c>
      <c r="S2" s="6">
        <v>3.54</v>
      </c>
      <c r="U2" s="10">
        <f>100*((((G26*0.001*60)*(C26-D26)*(S2/3.6)))/(((C2/3.6)*E26)+((E2/3.6)*K2)))</f>
        <v>28.87235066086869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750</v>
      </c>
      <c r="B6">
        <v>266.517</v>
      </c>
      <c r="C6">
        <v>71.534999999999997</v>
      </c>
      <c r="D6">
        <v>55.46</v>
      </c>
      <c r="E6">
        <v>0.55500000000000005</v>
      </c>
      <c r="F6">
        <v>80.043000000000006</v>
      </c>
      <c r="G6">
        <v>11.587999999999999</v>
      </c>
      <c r="H6">
        <v>81.393000000000001</v>
      </c>
      <c r="I6">
        <v>72.894000000000005</v>
      </c>
      <c r="J6">
        <v>7.9059999999999997</v>
      </c>
      <c r="K6">
        <v>230.42099999999999</v>
      </c>
      <c r="L6">
        <v>11.537000000000001</v>
      </c>
      <c r="M6">
        <v>52.277999999999999</v>
      </c>
      <c r="N6">
        <v>11.401999999999999</v>
      </c>
      <c r="O6">
        <v>0.91500000000000004</v>
      </c>
      <c r="P6">
        <v>0</v>
      </c>
      <c r="Q6">
        <v>22.157</v>
      </c>
      <c r="R6">
        <v>54.4</v>
      </c>
      <c r="S6">
        <v>20.93</v>
      </c>
    </row>
    <row r="7" spans="1:21" x14ac:dyDescent="0.3">
      <c r="A7" t="s">
        <v>751</v>
      </c>
      <c r="B7">
        <v>268.20999999999998</v>
      </c>
      <c r="C7">
        <v>71.695999999999998</v>
      </c>
      <c r="D7">
        <v>55.414000000000001</v>
      </c>
      <c r="E7">
        <v>0.53</v>
      </c>
      <c r="F7">
        <v>80.05</v>
      </c>
      <c r="G7">
        <v>11.596</v>
      </c>
      <c r="H7">
        <v>81.819000000000003</v>
      </c>
      <c r="I7">
        <v>73.016999999999996</v>
      </c>
      <c r="J7">
        <v>7.9</v>
      </c>
      <c r="K7">
        <v>230.22399999999999</v>
      </c>
      <c r="L7">
        <v>11.349</v>
      </c>
      <c r="M7">
        <v>52.343000000000004</v>
      </c>
      <c r="N7">
        <v>11.401999999999999</v>
      </c>
      <c r="O7">
        <v>0.91700000000000004</v>
      </c>
      <c r="P7">
        <v>0</v>
      </c>
      <c r="Q7">
        <v>21.9</v>
      </c>
      <c r="R7">
        <v>54.3</v>
      </c>
      <c r="S7">
        <v>20.93</v>
      </c>
    </row>
    <row r="8" spans="1:21" x14ac:dyDescent="0.3">
      <c r="A8" t="s">
        <v>752</v>
      </c>
      <c r="B8">
        <v>267.96600000000001</v>
      </c>
      <c r="C8">
        <v>71.665999999999997</v>
      </c>
      <c r="D8">
        <v>55.454000000000001</v>
      </c>
      <c r="E8">
        <v>0.57299999999999995</v>
      </c>
      <c r="F8">
        <v>82.143000000000001</v>
      </c>
      <c r="G8">
        <v>11.696999999999999</v>
      </c>
      <c r="H8">
        <v>82.873999999999995</v>
      </c>
      <c r="I8">
        <v>73.144999999999996</v>
      </c>
      <c r="J8">
        <v>7.9059999999999997</v>
      </c>
      <c r="K8">
        <v>230.339</v>
      </c>
      <c r="L8">
        <v>11.35</v>
      </c>
      <c r="M8">
        <v>52.600999999999999</v>
      </c>
      <c r="N8">
        <v>11.4</v>
      </c>
      <c r="O8">
        <v>0.89500000000000002</v>
      </c>
      <c r="P8">
        <v>0</v>
      </c>
      <c r="Q8">
        <v>22.643000000000001</v>
      </c>
      <c r="R8">
        <v>54.3</v>
      </c>
      <c r="S8">
        <v>20.93</v>
      </c>
    </row>
    <row r="9" spans="1:21" x14ac:dyDescent="0.3">
      <c r="A9" t="s">
        <v>753</v>
      </c>
      <c r="B9">
        <v>268.20299999999997</v>
      </c>
      <c r="C9">
        <v>71.662999999999997</v>
      </c>
      <c r="D9">
        <v>55.466999999999999</v>
      </c>
      <c r="E9">
        <v>0.49099999999999999</v>
      </c>
      <c r="F9">
        <v>80.686999999999998</v>
      </c>
      <c r="G9">
        <v>11.989000000000001</v>
      </c>
      <c r="H9">
        <v>83.509</v>
      </c>
      <c r="I9">
        <v>73.025999999999996</v>
      </c>
      <c r="J9">
        <v>7.9009999999999998</v>
      </c>
      <c r="K9">
        <v>230.28899999999999</v>
      </c>
      <c r="L9">
        <v>11.347</v>
      </c>
      <c r="M9">
        <v>52.545999999999999</v>
      </c>
      <c r="N9">
        <v>11.395</v>
      </c>
      <c r="O9">
        <v>0.90100000000000002</v>
      </c>
      <c r="P9">
        <v>0</v>
      </c>
      <c r="Q9">
        <v>24.033000000000001</v>
      </c>
      <c r="R9">
        <v>53.9</v>
      </c>
      <c r="S9">
        <v>20.93</v>
      </c>
    </row>
    <row r="10" spans="1:21" x14ac:dyDescent="0.3">
      <c r="A10" t="s">
        <v>754</v>
      </c>
      <c r="B10">
        <v>267.745</v>
      </c>
      <c r="C10">
        <v>71.686000000000007</v>
      </c>
      <c r="D10">
        <v>55.47</v>
      </c>
      <c r="E10">
        <v>0.41099999999999998</v>
      </c>
      <c r="F10">
        <v>81.518000000000001</v>
      </c>
      <c r="G10">
        <v>12.395</v>
      </c>
      <c r="H10">
        <v>83.555999999999997</v>
      </c>
      <c r="I10">
        <v>73.287999999999997</v>
      </c>
      <c r="J10">
        <v>7.9009999999999998</v>
      </c>
      <c r="K10">
        <v>230.142</v>
      </c>
      <c r="L10">
        <v>11.339</v>
      </c>
      <c r="M10">
        <v>52.384</v>
      </c>
      <c r="N10">
        <v>11.395</v>
      </c>
      <c r="O10">
        <v>0.90800000000000003</v>
      </c>
      <c r="P10">
        <v>0</v>
      </c>
      <c r="Q10">
        <v>24.815000000000001</v>
      </c>
      <c r="R10">
        <v>53.7</v>
      </c>
      <c r="S10">
        <v>20.93</v>
      </c>
    </row>
    <row r="11" spans="1:21" x14ac:dyDescent="0.3">
      <c r="A11" t="s">
        <v>755</v>
      </c>
      <c r="B11">
        <v>267.86799999999999</v>
      </c>
      <c r="C11">
        <v>71.659000000000006</v>
      </c>
      <c r="D11">
        <v>55.44</v>
      </c>
      <c r="E11">
        <v>0.378</v>
      </c>
      <c r="F11">
        <v>80.608000000000004</v>
      </c>
      <c r="G11">
        <v>11.625999999999999</v>
      </c>
      <c r="H11">
        <v>82.462000000000003</v>
      </c>
      <c r="I11">
        <v>72.882000000000005</v>
      </c>
      <c r="J11">
        <v>7.899</v>
      </c>
      <c r="K11">
        <v>230.191</v>
      </c>
      <c r="L11">
        <v>11.343999999999999</v>
      </c>
      <c r="M11">
        <v>52.24</v>
      </c>
      <c r="N11">
        <v>11.403</v>
      </c>
      <c r="O11">
        <v>0.92</v>
      </c>
      <c r="P11">
        <v>0</v>
      </c>
      <c r="Q11">
        <v>24.643999999999998</v>
      </c>
      <c r="R11">
        <v>53.7</v>
      </c>
      <c r="S11">
        <v>20.93</v>
      </c>
    </row>
    <row r="12" spans="1:21" x14ac:dyDescent="0.3">
      <c r="A12" t="s">
        <v>756</v>
      </c>
      <c r="B12">
        <v>267.44200000000001</v>
      </c>
      <c r="C12">
        <v>71.659000000000006</v>
      </c>
      <c r="D12">
        <v>55.485999999999997</v>
      </c>
      <c r="E12">
        <v>0.55900000000000005</v>
      </c>
      <c r="F12">
        <v>80.575999999999993</v>
      </c>
      <c r="G12">
        <v>11.715</v>
      </c>
      <c r="H12">
        <v>80.164000000000001</v>
      </c>
      <c r="I12">
        <v>73.510000000000005</v>
      </c>
      <c r="J12">
        <v>7.899</v>
      </c>
      <c r="K12">
        <v>230.04300000000001</v>
      </c>
      <c r="L12">
        <v>11.332000000000001</v>
      </c>
      <c r="M12">
        <v>52.118000000000002</v>
      </c>
      <c r="N12">
        <v>11.393000000000001</v>
      </c>
      <c r="O12">
        <v>0.88100000000000001</v>
      </c>
      <c r="P12">
        <v>0</v>
      </c>
      <c r="Q12">
        <v>23.209</v>
      </c>
      <c r="R12">
        <v>54.1</v>
      </c>
      <c r="S12">
        <v>20.93</v>
      </c>
    </row>
    <row r="13" spans="1:21" x14ac:dyDescent="0.3">
      <c r="A13" t="s">
        <v>757</v>
      </c>
      <c r="B13">
        <v>268.17599999999999</v>
      </c>
      <c r="C13">
        <v>71.653000000000006</v>
      </c>
      <c r="D13">
        <v>55.618000000000002</v>
      </c>
      <c r="E13">
        <v>0.55700000000000005</v>
      </c>
      <c r="F13">
        <v>81.376999999999995</v>
      </c>
      <c r="G13">
        <v>12.198</v>
      </c>
      <c r="H13">
        <v>81.153999999999996</v>
      </c>
      <c r="I13">
        <v>72.956000000000003</v>
      </c>
      <c r="J13">
        <v>7.9039999999999999</v>
      </c>
      <c r="K13">
        <v>230.339</v>
      </c>
      <c r="L13">
        <v>11.345000000000001</v>
      </c>
      <c r="M13">
        <v>52.246000000000002</v>
      </c>
      <c r="N13">
        <v>11.393000000000001</v>
      </c>
      <c r="O13">
        <v>0.90500000000000003</v>
      </c>
      <c r="P13">
        <v>0</v>
      </c>
      <c r="Q13">
        <v>22.169</v>
      </c>
      <c r="R13">
        <v>54.3</v>
      </c>
      <c r="S13">
        <v>20.93</v>
      </c>
    </row>
    <row r="14" spans="1:21" x14ac:dyDescent="0.3">
      <c r="A14" t="s">
        <v>758</v>
      </c>
      <c r="B14">
        <v>268.66300000000001</v>
      </c>
      <c r="C14">
        <v>71.659000000000006</v>
      </c>
      <c r="D14">
        <v>55.847999999999999</v>
      </c>
      <c r="E14">
        <v>0.57899999999999996</v>
      </c>
      <c r="F14">
        <v>80.844999999999999</v>
      </c>
      <c r="G14">
        <v>12.474</v>
      </c>
      <c r="H14">
        <v>81.73</v>
      </c>
      <c r="I14">
        <v>73.135999999999996</v>
      </c>
      <c r="J14">
        <v>7.9</v>
      </c>
      <c r="K14">
        <v>230.125</v>
      </c>
      <c r="L14">
        <v>11.326000000000001</v>
      </c>
      <c r="M14">
        <v>52.286000000000001</v>
      </c>
      <c r="N14">
        <v>11.395</v>
      </c>
      <c r="O14">
        <v>0.90700000000000003</v>
      </c>
      <c r="P14">
        <v>0</v>
      </c>
      <c r="Q14">
        <v>21.872</v>
      </c>
      <c r="R14">
        <v>54.5</v>
      </c>
      <c r="S14">
        <v>20.93</v>
      </c>
    </row>
    <row r="15" spans="1:21" x14ac:dyDescent="0.3">
      <c r="A15" t="s">
        <v>759</v>
      </c>
      <c r="B15">
        <v>269.14499999999998</v>
      </c>
      <c r="C15">
        <v>71.695999999999998</v>
      </c>
      <c r="D15">
        <v>55.969000000000001</v>
      </c>
      <c r="E15">
        <v>0.40799999999999997</v>
      </c>
      <c r="F15">
        <v>80.878</v>
      </c>
      <c r="G15">
        <v>12.218999999999999</v>
      </c>
      <c r="H15">
        <v>82.784999999999997</v>
      </c>
      <c r="I15">
        <v>73.268000000000001</v>
      </c>
      <c r="J15">
        <v>7.9059999999999997</v>
      </c>
      <c r="K15">
        <v>230.30600000000001</v>
      </c>
      <c r="L15">
        <v>11.343999999999999</v>
      </c>
      <c r="M15">
        <v>52.493000000000002</v>
      </c>
      <c r="N15">
        <v>11.391999999999999</v>
      </c>
      <c r="O15">
        <v>0.90100000000000002</v>
      </c>
      <c r="P15">
        <v>0</v>
      </c>
      <c r="Q15">
        <v>22.423999999999999</v>
      </c>
      <c r="R15">
        <v>54.3</v>
      </c>
      <c r="S15">
        <v>20.93</v>
      </c>
    </row>
    <row r="16" spans="1:21" x14ac:dyDescent="0.3">
      <c r="A16" t="s">
        <v>760</v>
      </c>
      <c r="B16">
        <v>268.96300000000002</v>
      </c>
      <c r="C16">
        <v>71.704999999999998</v>
      </c>
      <c r="D16">
        <v>55.975999999999999</v>
      </c>
      <c r="E16">
        <v>0.38500000000000001</v>
      </c>
      <c r="F16">
        <v>81.991</v>
      </c>
      <c r="G16">
        <v>12.682</v>
      </c>
      <c r="H16">
        <v>83.588999999999999</v>
      </c>
      <c r="I16">
        <v>72.89</v>
      </c>
      <c r="J16">
        <v>7.899</v>
      </c>
      <c r="K16">
        <v>230.07599999999999</v>
      </c>
      <c r="L16">
        <v>11.321</v>
      </c>
      <c r="M16">
        <v>52.593000000000004</v>
      </c>
      <c r="N16">
        <v>11.4</v>
      </c>
      <c r="O16">
        <v>0.89100000000000001</v>
      </c>
      <c r="P16">
        <v>0</v>
      </c>
      <c r="Q16">
        <v>23.794</v>
      </c>
      <c r="R16">
        <v>54</v>
      </c>
      <c r="S16">
        <v>20.93</v>
      </c>
    </row>
    <row r="17" spans="1:19" x14ac:dyDescent="0.3">
      <c r="A17" t="s">
        <v>761</v>
      </c>
      <c r="B17">
        <v>268.68799999999999</v>
      </c>
      <c r="C17">
        <v>71.659000000000006</v>
      </c>
      <c r="D17">
        <v>56.021999999999998</v>
      </c>
      <c r="E17">
        <v>0.42899999999999999</v>
      </c>
      <c r="F17">
        <v>81.757999999999996</v>
      </c>
      <c r="G17">
        <v>12.946999999999999</v>
      </c>
      <c r="H17">
        <v>83.578000000000003</v>
      </c>
      <c r="I17">
        <v>73.165000000000006</v>
      </c>
      <c r="J17">
        <v>7.9029999999999996</v>
      </c>
      <c r="K17">
        <v>230.339</v>
      </c>
      <c r="L17">
        <v>11.347</v>
      </c>
      <c r="M17">
        <v>52.497999999999998</v>
      </c>
      <c r="N17">
        <v>11.397</v>
      </c>
      <c r="O17">
        <v>0.91</v>
      </c>
      <c r="P17">
        <v>0</v>
      </c>
      <c r="Q17">
        <v>24.655000000000001</v>
      </c>
      <c r="R17">
        <v>53.8</v>
      </c>
      <c r="S17">
        <v>20.93</v>
      </c>
    </row>
    <row r="18" spans="1:19" x14ac:dyDescent="0.3">
      <c r="A18" t="s">
        <v>762</v>
      </c>
      <c r="B18">
        <v>268.35899999999998</v>
      </c>
      <c r="C18">
        <v>71.771000000000001</v>
      </c>
      <c r="D18">
        <v>56.156999999999996</v>
      </c>
      <c r="E18">
        <v>0.5</v>
      </c>
      <c r="F18">
        <v>81.453000000000003</v>
      </c>
      <c r="G18">
        <v>12.683999999999999</v>
      </c>
      <c r="H18">
        <v>82.899000000000001</v>
      </c>
      <c r="I18">
        <v>72.783000000000001</v>
      </c>
      <c r="J18">
        <v>7.899</v>
      </c>
      <c r="K18">
        <v>230.01</v>
      </c>
      <c r="L18">
        <v>11.333</v>
      </c>
      <c r="M18">
        <v>52.331000000000003</v>
      </c>
      <c r="N18">
        <v>11.397</v>
      </c>
      <c r="O18">
        <v>0.89400000000000002</v>
      </c>
      <c r="P18">
        <v>0</v>
      </c>
      <c r="Q18">
        <v>24.695</v>
      </c>
      <c r="R18">
        <v>53.9</v>
      </c>
      <c r="S18">
        <v>20.93</v>
      </c>
    </row>
    <row r="19" spans="1:19" x14ac:dyDescent="0.3">
      <c r="A19" t="s">
        <v>763</v>
      </c>
      <c r="B19">
        <v>267.42399999999998</v>
      </c>
      <c r="C19">
        <v>71.731999999999999</v>
      </c>
      <c r="D19">
        <v>56.426000000000002</v>
      </c>
      <c r="E19">
        <v>0.52500000000000002</v>
      </c>
      <c r="F19">
        <v>80.837999999999994</v>
      </c>
      <c r="G19">
        <v>12.766</v>
      </c>
      <c r="H19">
        <v>81.885000000000005</v>
      </c>
      <c r="I19">
        <v>73.034000000000006</v>
      </c>
      <c r="J19">
        <v>7.9059999999999997</v>
      </c>
      <c r="K19">
        <v>230.28899999999999</v>
      </c>
      <c r="L19">
        <v>11.356999999999999</v>
      </c>
      <c r="M19">
        <v>52.189</v>
      </c>
      <c r="N19">
        <v>11.401</v>
      </c>
      <c r="O19">
        <v>0.88200000000000001</v>
      </c>
      <c r="P19">
        <v>0</v>
      </c>
      <c r="Q19">
        <v>23.475999999999999</v>
      </c>
      <c r="R19">
        <v>54</v>
      </c>
      <c r="S19">
        <v>20.93</v>
      </c>
    </row>
    <row r="20" spans="1:19" x14ac:dyDescent="0.3">
      <c r="A20" t="s">
        <v>764</v>
      </c>
      <c r="B20">
        <v>268.733</v>
      </c>
      <c r="C20">
        <v>71.790999999999997</v>
      </c>
      <c r="D20">
        <v>56.393000000000001</v>
      </c>
      <c r="E20">
        <v>0.57399999999999995</v>
      </c>
      <c r="F20">
        <v>80.489999999999995</v>
      </c>
      <c r="G20">
        <v>12.708</v>
      </c>
      <c r="H20">
        <v>81.400000000000006</v>
      </c>
      <c r="I20">
        <v>72.819999999999993</v>
      </c>
      <c r="J20">
        <v>7.899</v>
      </c>
      <c r="K20">
        <v>230.02699999999999</v>
      </c>
      <c r="L20">
        <v>11.342000000000001</v>
      </c>
      <c r="M20">
        <v>52.314999999999998</v>
      </c>
      <c r="N20">
        <v>11.398999999999999</v>
      </c>
      <c r="O20">
        <v>0.92</v>
      </c>
      <c r="P20">
        <v>0</v>
      </c>
      <c r="Q20">
        <v>22.326000000000001</v>
      </c>
      <c r="R20">
        <v>54.4</v>
      </c>
      <c r="S20">
        <v>20.93</v>
      </c>
    </row>
    <row r="21" spans="1:19" x14ac:dyDescent="0.3">
      <c r="A21" t="s">
        <v>765</v>
      </c>
      <c r="B21">
        <v>269.53899999999999</v>
      </c>
      <c r="C21">
        <v>71.765000000000001</v>
      </c>
      <c r="D21">
        <v>56.527999999999999</v>
      </c>
      <c r="E21">
        <v>0.51300000000000001</v>
      </c>
      <c r="F21">
        <v>82.248000000000005</v>
      </c>
      <c r="G21">
        <v>12.736000000000001</v>
      </c>
      <c r="H21">
        <v>81.617000000000004</v>
      </c>
      <c r="I21">
        <v>72.894000000000005</v>
      </c>
      <c r="J21">
        <v>7.9059999999999997</v>
      </c>
      <c r="K21">
        <v>230.30600000000001</v>
      </c>
      <c r="L21">
        <v>11.351000000000001</v>
      </c>
      <c r="M21">
        <v>52.295000000000002</v>
      </c>
      <c r="N21">
        <v>11.394</v>
      </c>
      <c r="O21">
        <v>0.88200000000000001</v>
      </c>
      <c r="P21">
        <v>0</v>
      </c>
      <c r="Q21">
        <v>21.855</v>
      </c>
      <c r="R21">
        <v>54.3</v>
      </c>
      <c r="S21">
        <v>20.93</v>
      </c>
    </row>
    <row r="22" spans="1:19" x14ac:dyDescent="0.3">
      <c r="A22" t="s">
        <v>766</v>
      </c>
      <c r="B22">
        <v>269.88</v>
      </c>
      <c r="C22">
        <v>71.813999999999993</v>
      </c>
      <c r="D22">
        <v>56.521000000000001</v>
      </c>
      <c r="E22">
        <v>0.49</v>
      </c>
      <c r="F22">
        <v>82.087000000000003</v>
      </c>
      <c r="G22">
        <v>13.234</v>
      </c>
      <c r="H22">
        <v>82.695999999999998</v>
      </c>
      <c r="I22">
        <v>72.992999999999995</v>
      </c>
      <c r="J22">
        <v>7.8929999999999998</v>
      </c>
      <c r="K22">
        <v>230.04300000000001</v>
      </c>
      <c r="L22">
        <v>11.333</v>
      </c>
      <c r="M22">
        <v>52.387999999999998</v>
      </c>
      <c r="N22">
        <v>11.391999999999999</v>
      </c>
      <c r="O22">
        <v>0.91600000000000004</v>
      </c>
      <c r="P22">
        <v>0</v>
      </c>
      <c r="Q22">
        <v>22.239000000000001</v>
      </c>
      <c r="R22">
        <v>54.3</v>
      </c>
      <c r="S22">
        <v>20.93</v>
      </c>
    </row>
    <row r="23" spans="1:19" x14ac:dyDescent="0.3">
      <c r="A23" t="s">
        <v>767</v>
      </c>
      <c r="B23">
        <v>270.14600000000002</v>
      </c>
      <c r="C23">
        <v>71.787999999999997</v>
      </c>
      <c r="D23">
        <v>56.643000000000001</v>
      </c>
      <c r="E23">
        <v>0.41599999999999998</v>
      </c>
      <c r="F23">
        <v>81.867000000000004</v>
      </c>
      <c r="G23">
        <v>13.888999999999999</v>
      </c>
      <c r="H23">
        <v>83.471000000000004</v>
      </c>
      <c r="I23">
        <v>72.787000000000006</v>
      </c>
      <c r="J23">
        <v>7.907</v>
      </c>
      <c r="K23">
        <v>230.322</v>
      </c>
      <c r="L23">
        <v>11.343999999999999</v>
      </c>
      <c r="M23">
        <v>52.637999999999998</v>
      </c>
      <c r="N23">
        <v>11.404999999999999</v>
      </c>
      <c r="O23">
        <v>0.88100000000000001</v>
      </c>
      <c r="P23">
        <v>0</v>
      </c>
      <c r="Q23">
        <v>23.565999999999999</v>
      </c>
      <c r="R23">
        <v>54</v>
      </c>
      <c r="S23">
        <v>20.93</v>
      </c>
    </row>
    <row r="24" spans="1:19" x14ac:dyDescent="0.3">
      <c r="A24" t="s">
        <v>768</v>
      </c>
      <c r="B24">
        <v>269.553</v>
      </c>
      <c r="C24">
        <v>71.771000000000001</v>
      </c>
      <c r="D24">
        <v>56.728000000000002</v>
      </c>
      <c r="E24">
        <v>0.41499999999999998</v>
      </c>
      <c r="F24">
        <v>80.881</v>
      </c>
      <c r="G24">
        <v>13.215999999999999</v>
      </c>
      <c r="H24">
        <v>83.56</v>
      </c>
      <c r="I24">
        <v>73.103999999999999</v>
      </c>
      <c r="J24">
        <v>7.8929999999999998</v>
      </c>
      <c r="K24">
        <v>230.01</v>
      </c>
      <c r="L24">
        <v>11.326000000000001</v>
      </c>
      <c r="M24">
        <v>52.463000000000001</v>
      </c>
      <c r="N24">
        <v>11.398999999999999</v>
      </c>
      <c r="O24">
        <v>0.90400000000000003</v>
      </c>
      <c r="P24">
        <v>0</v>
      </c>
      <c r="Q24">
        <v>24.63</v>
      </c>
      <c r="R24">
        <v>53.8</v>
      </c>
      <c r="S24">
        <v>20.93</v>
      </c>
    </row>
    <row r="25" spans="1:19" ht="15" thickBot="1" x14ac:dyDescent="0.35">
      <c r="A25" t="s">
        <v>769</v>
      </c>
      <c r="B25">
        <v>268.52</v>
      </c>
      <c r="C25">
        <v>71.807000000000002</v>
      </c>
      <c r="D25">
        <v>56.856000000000002</v>
      </c>
      <c r="E25">
        <v>0.47899999999999998</v>
      </c>
      <c r="F25">
        <v>82.054000000000002</v>
      </c>
      <c r="G25">
        <v>13.503</v>
      </c>
      <c r="H25">
        <v>83.022000000000006</v>
      </c>
      <c r="I25">
        <v>72.712999999999994</v>
      </c>
      <c r="J25">
        <v>7.91</v>
      </c>
      <c r="K25">
        <v>230.38800000000001</v>
      </c>
      <c r="L25">
        <v>11.343</v>
      </c>
      <c r="M25">
        <v>52.408000000000001</v>
      </c>
      <c r="N25">
        <v>11.401999999999999</v>
      </c>
      <c r="O25">
        <v>0.89200000000000002</v>
      </c>
      <c r="P25">
        <v>0</v>
      </c>
      <c r="Q25">
        <v>24.835000000000001</v>
      </c>
      <c r="R25">
        <v>53.8</v>
      </c>
      <c r="S25">
        <v>20.93</v>
      </c>
    </row>
    <row r="26" spans="1:19" ht="15" thickBot="1" x14ac:dyDescent="0.35">
      <c r="A26" t="s">
        <v>30</v>
      </c>
      <c r="B26" s="1">
        <f t="shared" ref="B26:S26" si="0">AVERAGE(B6:B25)</f>
        <v>268.48699999999997</v>
      </c>
      <c r="C26" s="1">
        <f t="shared" si="0"/>
        <v>71.708750000000009</v>
      </c>
      <c r="D26" s="1">
        <f t="shared" si="0"/>
        <v>55.993800000000007</v>
      </c>
      <c r="E26" s="10">
        <f t="shared" si="0"/>
        <v>0.48834999999999995</v>
      </c>
      <c r="F26" s="1">
        <f t="shared" si="0"/>
        <v>81.219600000000014</v>
      </c>
      <c r="G26" s="1">
        <f t="shared" si="0"/>
        <v>12.493100000000002</v>
      </c>
      <c r="H26" s="10">
        <f t="shared" si="0"/>
        <v>82.458149999999975</v>
      </c>
      <c r="I26" s="1">
        <f t="shared" si="0"/>
        <v>73.015249999999995</v>
      </c>
      <c r="J26" s="8">
        <f t="shared" si="0"/>
        <v>7.9018500000000014</v>
      </c>
      <c r="K26" s="1">
        <f t="shared" si="0"/>
        <v>230.21145000000001</v>
      </c>
      <c r="L26" s="1">
        <f t="shared" si="0"/>
        <v>11.3505</v>
      </c>
      <c r="M26" s="1">
        <f t="shared" si="0"/>
        <v>52.382649999999998</v>
      </c>
      <c r="N26" s="1">
        <f t="shared" si="0"/>
        <v>11.3978</v>
      </c>
      <c r="O26" s="1">
        <f t="shared" si="0"/>
        <v>0.9010999999999999</v>
      </c>
      <c r="P26" s="1">
        <f t="shared" si="0"/>
        <v>0</v>
      </c>
      <c r="Q26" s="1">
        <f t="shared" si="0"/>
        <v>23.296849999999999</v>
      </c>
      <c r="R26" s="1">
        <f t="shared" si="0"/>
        <v>54.089999999999989</v>
      </c>
      <c r="S26" s="1">
        <f t="shared" si="0"/>
        <v>20.930000000000003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0FCE-2487-4A81-A7D1-99792A655480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0.65285879629629628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2.7154103904543612</v>
      </c>
      <c r="M2" s="8">
        <f>100*(R26/(R26+Q26))</f>
        <v>69.839262557338273</v>
      </c>
      <c r="O2" s="9">
        <f>100*((E26*C2)/((E26*C2)+(K2*E2)))</f>
        <v>13.410735053739046</v>
      </c>
      <c r="Q2" s="10">
        <f>100*J26*(1/(((C2/3.6)*E26)+((E2/3.6)*K2)))</f>
        <v>23.025512023741815</v>
      </c>
      <c r="S2" s="6">
        <v>3.54</v>
      </c>
      <c r="U2" s="10">
        <f>100*((((G26*0.001*60)*(C26-D26)*(S2/3.6)))/(((C2/3.6)*E26)+((E2/3.6)*K2)))</f>
        <v>29.381402761459558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770</v>
      </c>
      <c r="B6">
        <v>306.70400000000001</v>
      </c>
      <c r="C6">
        <v>72.849000000000004</v>
      </c>
      <c r="D6">
        <v>61.883000000000003</v>
      </c>
      <c r="E6">
        <v>0.372</v>
      </c>
      <c r="F6">
        <v>83.311999999999998</v>
      </c>
      <c r="G6">
        <v>19.373999999999999</v>
      </c>
      <c r="H6">
        <v>91.524000000000001</v>
      </c>
      <c r="I6">
        <v>73.161000000000001</v>
      </c>
      <c r="J6">
        <v>10.028</v>
      </c>
      <c r="K6">
        <v>229.76400000000001</v>
      </c>
      <c r="L6">
        <v>14.646000000000001</v>
      </c>
      <c r="M6">
        <v>52.173000000000002</v>
      </c>
      <c r="N6">
        <v>14.398999999999999</v>
      </c>
      <c r="O6">
        <v>0.90200000000000002</v>
      </c>
      <c r="P6">
        <v>0</v>
      </c>
      <c r="Q6">
        <v>28.042999999999999</v>
      </c>
      <c r="R6">
        <v>59.1</v>
      </c>
      <c r="S6">
        <v>24.93</v>
      </c>
    </row>
    <row r="7" spans="1:21" x14ac:dyDescent="0.3">
      <c r="A7" t="s">
        <v>771</v>
      </c>
      <c r="B7">
        <v>305.47699999999998</v>
      </c>
      <c r="C7">
        <v>72.808999999999997</v>
      </c>
      <c r="D7">
        <v>62.043999999999997</v>
      </c>
      <c r="E7">
        <v>0.496</v>
      </c>
      <c r="F7">
        <v>80.677000000000007</v>
      </c>
      <c r="G7">
        <v>19.262</v>
      </c>
      <c r="H7">
        <v>89.631</v>
      </c>
      <c r="I7">
        <v>72.968000000000004</v>
      </c>
      <c r="J7">
        <v>10.039999999999999</v>
      </c>
      <c r="K7">
        <v>230.273</v>
      </c>
      <c r="L7">
        <v>14.651999999999999</v>
      </c>
      <c r="M7">
        <v>52.030999999999999</v>
      </c>
      <c r="N7">
        <v>14.406000000000001</v>
      </c>
      <c r="O7">
        <v>0.91100000000000003</v>
      </c>
      <c r="P7">
        <v>0</v>
      </c>
      <c r="Q7">
        <v>26.905999999999999</v>
      </c>
      <c r="R7">
        <v>59.3</v>
      </c>
      <c r="S7">
        <v>24.93</v>
      </c>
    </row>
    <row r="8" spans="1:21" x14ac:dyDescent="0.3">
      <c r="A8" t="s">
        <v>772</v>
      </c>
      <c r="B8">
        <v>307.62200000000001</v>
      </c>
      <c r="C8">
        <v>72.875</v>
      </c>
      <c r="D8">
        <v>62.082999999999998</v>
      </c>
      <c r="E8">
        <v>0.627</v>
      </c>
      <c r="F8">
        <v>81.406999999999996</v>
      </c>
      <c r="G8">
        <v>20.007000000000001</v>
      </c>
      <c r="H8">
        <v>88.775999999999996</v>
      </c>
      <c r="I8">
        <v>73.28</v>
      </c>
      <c r="J8">
        <v>10.032999999999999</v>
      </c>
      <c r="K8">
        <v>229.87899999999999</v>
      </c>
      <c r="L8">
        <v>14.625</v>
      </c>
      <c r="M8">
        <v>52.063000000000002</v>
      </c>
      <c r="N8">
        <v>14.374000000000001</v>
      </c>
      <c r="O8">
        <v>0.88800000000000001</v>
      </c>
      <c r="P8">
        <v>0</v>
      </c>
      <c r="Q8">
        <v>24.545000000000002</v>
      </c>
      <c r="R8">
        <v>60.1</v>
      </c>
      <c r="S8">
        <v>24.93</v>
      </c>
    </row>
    <row r="9" spans="1:21" x14ac:dyDescent="0.3">
      <c r="A9" t="s">
        <v>773</v>
      </c>
      <c r="B9">
        <v>309.81099999999998</v>
      </c>
      <c r="C9">
        <v>72.927999999999997</v>
      </c>
      <c r="D9">
        <v>62.228000000000002</v>
      </c>
      <c r="E9">
        <v>0.68</v>
      </c>
      <c r="F9">
        <v>82.52</v>
      </c>
      <c r="G9">
        <v>20.626999999999999</v>
      </c>
      <c r="H9">
        <v>89.254000000000005</v>
      </c>
      <c r="I9">
        <v>73.177999999999997</v>
      </c>
      <c r="J9">
        <v>10.045999999999999</v>
      </c>
      <c r="K9">
        <v>230.38800000000001</v>
      </c>
      <c r="L9">
        <v>14.662000000000001</v>
      </c>
      <c r="M9">
        <v>52.448999999999998</v>
      </c>
      <c r="N9">
        <v>14.395</v>
      </c>
      <c r="O9">
        <v>0.92400000000000004</v>
      </c>
      <c r="P9">
        <v>0</v>
      </c>
      <c r="Q9">
        <v>23.364000000000001</v>
      </c>
      <c r="R9">
        <v>60.3</v>
      </c>
      <c r="S9">
        <v>24.93</v>
      </c>
    </row>
    <row r="10" spans="1:21" x14ac:dyDescent="0.3">
      <c r="A10" t="s">
        <v>774</v>
      </c>
      <c r="B10">
        <v>310.78100000000001</v>
      </c>
      <c r="C10">
        <v>72.911000000000001</v>
      </c>
      <c r="D10">
        <v>62.316000000000003</v>
      </c>
      <c r="E10">
        <v>0.52200000000000002</v>
      </c>
      <c r="F10">
        <v>81.893000000000001</v>
      </c>
      <c r="G10">
        <v>20.614000000000001</v>
      </c>
      <c r="H10">
        <v>91.096000000000004</v>
      </c>
      <c r="I10">
        <v>73.275999999999996</v>
      </c>
      <c r="J10">
        <v>10.035</v>
      </c>
      <c r="K10">
        <v>229.73099999999999</v>
      </c>
      <c r="L10">
        <v>14.493</v>
      </c>
      <c r="M10">
        <v>52.741</v>
      </c>
      <c r="N10">
        <v>14.401999999999999</v>
      </c>
      <c r="O10">
        <v>0.89800000000000002</v>
      </c>
      <c r="P10">
        <v>0</v>
      </c>
      <c r="Q10">
        <v>24.027999999999999</v>
      </c>
      <c r="R10">
        <v>60</v>
      </c>
      <c r="S10">
        <v>24.93</v>
      </c>
    </row>
    <row r="11" spans="1:21" x14ac:dyDescent="0.3">
      <c r="A11" t="s">
        <v>775</v>
      </c>
      <c r="B11">
        <v>310.78100000000001</v>
      </c>
      <c r="C11">
        <v>73.036000000000001</v>
      </c>
      <c r="D11">
        <v>62.466999999999999</v>
      </c>
      <c r="E11">
        <v>0.38700000000000001</v>
      </c>
      <c r="F11">
        <v>82.805999999999997</v>
      </c>
      <c r="G11">
        <v>20.966999999999999</v>
      </c>
      <c r="H11">
        <v>92.215000000000003</v>
      </c>
      <c r="I11">
        <v>73.263999999999996</v>
      </c>
      <c r="J11">
        <v>10.035</v>
      </c>
      <c r="K11">
        <v>230.059</v>
      </c>
      <c r="L11">
        <v>14.51</v>
      </c>
      <c r="M11">
        <v>52.822000000000003</v>
      </c>
      <c r="N11">
        <v>14.397</v>
      </c>
      <c r="O11">
        <v>0.91200000000000003</v>
      </c>
      <c r="P11">
        <v>0</v>
      </c>
      <c r="Q11">
        <v>26.309000000000001</v>
      </c>
      <c r="R11">
        <v>59.4</v>
      </c>
      <c r="S11">
        <v>24.93</v>
      </c>
    </row>
    <row r="12" spans="1:21" x14ac:dyDescent="0.3">
      <c r="A12" t="s">
        <v>776</v>
      </c>
      <c r="B12">
        <v>309.15300000000002</v>
      </c>
      <c r="C12">
        <v>73.052000000000007</v>
      </c>
      <c r="D12">
        <v>62.566000000000003</v>
      </c>
      <c r="E12">
        <v>0.317</v>
      </c>
      <c r="F12">
        <v>83.081999999999994</v>
      </c>
      <c r="G12">
        <v>21.106999999999999</v>
      </c>
      <c r="H12">
        <v>92.361999999999995</v>
      </c>
      <c r="I12">
        <v>73.194000000000003</v>
      </c>
      <c r="J12">
        <v>10.025</v>
      </c>
      <c r="K12">
        <v>229.78</v>
      </c>
      <c r="L12">
        <v>14.622999999999999</v>
      </c>
      <c r="M12">
        <v>52.307000000000002</v>
      </c>
      <c r="N12">
        <v>14.403</v>
      </c>
      <c r="O12">
        <v>0.91700000000000004</v>
      </c>
      <c r="P12">
        <v>0</v>
      </c>
      <c r="Q12">
        <v>27.81</v>
      </c>
      <c r="R12">
        <v>59.1</v>
      </c>
      <c r="S12">
        <v>24.93</v>
      </c>
    </row>
    <row r="13" spans="1:21" x14ac:dyDescent="0.3">
      <c r="A13" t="s">
        <v>777</v>
      </c>
      <c r="B13">
        <v>307.83199999999999</v>
      </c>
      <c r="C13">
        <v>73.025999999999996</v>
      </c>
      <c r="D13">
        <v>62.723999999999997</v>
      </c>
      <c r="E13">
        <v>0.47699999999999998</v>
      </c>
      <c r="F13">
        <v>82.007999999999996</v>
      </c>
      <c r="G13">
        <v>20.931000000000001</v>
      </c>
      <c r="H13">
        <v>90.358000000000004</v>
      </c>
      <c r="I13">
        <v>73.230999999999995</v>
      </c>
      <c r="J13">
        <v>10.038</v>
      </c>
      <c r="K13">
        <v>230.15799999999999</v>
      </c>
      <c r="L13">
        <v>14.641999999999999</v>
      </c>
      <c r="M13">
        <v>52.042999999999999</v>
      </c>
      <c r="N13">
        <v>14.4</v>
      </c>
      <c r="O13">
        <v>0.90400000000000003</v>
      </c>
      <c r="P13">
        <v>0</v>
      </c>
      <c r="Q13">
        <v>27.675000000000001</v>
      </c>
      <c r="R13">
        <v>59.2</v>
      </c>
      <c r="S13">
        <v>24.93</v>
      </c>
    </row>
    <row r="14" spans="1:21" x14ac:dyDescent="0.3">
      <c r="A14" t="s">
        <v>778</v>
      </c>
      <c r="B14">
        <v>306.22699999999998</v>
      </c>
      <c r="C14">
        <v>73.052000000000007</v>
      </c>
      <c r="D14">
        <v>62.829000000000001</v>
      </c>
      <c r="E14">
        <v>0.61199999999999999</v>
      </c>
      <c r="F14">
        <v>83.314999999999998</v>
      </c>
      <c r="G14">
        <v>20.869</v>
      </c>
      <c r="H14">
        <v>89.444999999999993</v>
      </c>
      <c r="I14">
        <v>74.215999999999994</v>
      </c>
      <c r="J14">
        <v>10.029999999999999</v>
      </c>
      <c r="K14">
        <v>229.86199999999999</v>
      </c>
      <c r="L14">
        <v>14.625999999999999</v>
      </c>
      <c r="M14">
        <v>52.027000000000001</v>
      </c>
      <c r="N14">
        <v>14.401999999999999</v>
      </c>
      <c r="O14">
        <v>0.90300000000000002</v>
      </c>
      <c r="P14">
        <v>0</v>
      </c>
      <c r="Q14">
        <v>25.382000000000001</v>
      </c>
      <c r="R14">
        <v>60</v>
      </c>
      <c r="S14">
        <v>24.93</v>
      </c>
    </row>
    <row r="15" spans="1:21" x14ac:dyDescent="0.3">
      <c r="A15" t="s">
        <v>779</v>
      </c>
      <c r="B15">
        <v>307.71699999999998</v>
      </c>
      <c r="C15">
        <v>73.081999999999994</v>
      </c>
      <c r="D15">
        <v>62.993000000000002</v>
      </c>
      <c r="E15">
        <v>0.67300000000000004</v>
      </c>
      <c r="F15">
        <v>82.207999999999998</v>
      </c>
      <c r="G15">
        <v>20.981999999999999</v>
      </c>
      <c r="H15">
        <v>88.977000000000004</v>
      </c>
      <c r="I15">
        <v>72.997</v>
      </c>
      <c r="J15">
        <v>10.042999999999999</v>
      </c>
      <c r="K15">
        <v>230.142</v>
      </c>
      <c r="L15">
        <v>14.64</v>
      </c>
      <c r="M15">
        <v>52.231999999999999</v>
      </c>
      <c r="N15">
        <v>14.398999999999999</v>
      </c>
      <c r="O15">
        <v>0.92200000000000004</v>
      </c>
      <c r="P15">
        <v>0</v>
      </c>
      <c r="Q15">
        <v>23.649000000000001</v>
      </c>
      <c r="R15">
        <v>60.2</v>
      </c>
      <c r="S15">
        <v>24.93</v>
      </c>
    </row>
    <row r="16" spans="1:21" x14ac:dyDescent="0.3">
      <c r="A16" t="s">
        <v>780</v>
      </c>
      <c r="B16">
        <v>310.03899999999999</v>
      </c>
      <c r="C16">
        <v>73.19</v>
      </c>
      <c r="D16">
        <v>63.026000000000003</v>
      </c>
      <c r="E16">
        <v>0.52600000000000002</v>
      </c>
      <c r="F16">
        <v>82.846000000000004</v>
      </c>
      <c r="G16">
        <v>21.422000000000001</v>
      </c>
      <c r="H16">
        <v>90.409000000000006</v>
      </c>
      <c r="I16">
        <v>73.301000000000002</v>
      </c>
      <c r="J16">
        <v>10.031000000000001</v>
      </c>
      <c r="K16">
        <v>229.76400000000001</v>
      </c>
      <c r="L16">
        <v>14.622</v>
      </c>
      <c r="M16">
        <v>52.642000000000003</v>
      </c>
      <c r="N16">
        <v>14.406000000000001</v>
      </c>
      <c r="O16">
        <v>0.90700000000000003</v>
      </c>
      <c r="P16">
        <v>0</v>
      </c>
      <c r="Q16">
        <v>23.367999999999999</v>
      </c>
      <c r="R16">
        <v>60.2</v>
      </c>
      <c r="S16">
        <v>24.93</v>
      </c>
    </row>
    <row r="17" spans="1:19" x14ac:dyDescent="0.3">
      <c r="A17" t="s">
        <v>781</v>
      </c>
      <c r="B17">
        <v>311.39</v>
      </c>
      <c r="C17">
        <v>73.164000000000001</v>
      </c>
      <c r="D17">
        <v>63.151000000000003</v>
      </c>
      <c r="E17">
        <v>0.441</v>
      </c>
      <c r="F17">
        <v>83.091999999999999</v>
      </c>
      <c r="G17">
        <v>22.356999999999999</v>
      </c>
      <c r="H17">
        <v>92.266999999999996</v>
      </c>
      <c r="I17">
        <v>73.034000000000006</v>
      </c>
      <c r="J17">
        <v>10.041</v>
      </c>
      <c r="K17">
        <v>230.09200000000001</v>
      </c>
      <c r="L17">
        <v>14.641999999999999</v>
      </c>
      <c r="M17">
        <v>52.921999999999997</v>
      </c>
      <c r="N17">
        <v>14.403</v>
      </c>
      <c r="O17">
        <v>0.92500000000000004</v>
      </c>
      <c r="P17">
        <v>0</v>
      </c>
      <c r="Q17">
        <v>25.31</v>
      </c>
      <c r="R17">
        <v>59.6</v>
      </c>
      <c r="S17">
        <v>24.93</v>
      </c>
    </row>
    <row r="18" spans="1:19" x14ac:dyDescent="0.3">
      <c r="A18" t="s">
        <v>782</v>
      </c>
      <c r="B18">
        <v>310.95600000000002</v>
      </c>
      <c r="C18">
        <v>73.164000000000001</v>
      </c>
      <c r="D18">
        <v>63.259</v>
      </c>
      <c r="E18">
        <v>0.32900000000000001</v>
      </c>
      <c r="F18">
        <v>83.292000000000002</v>
      </c>
      <c r="G18">
        <v>22.312999999999999</v>
      </c>
      <c r="H18">
        <v>92.715999999999994</v>
      </c>
      <c r="I18">
        <v>73.103999999999999</v>
      </c>
      <c r="J18">
        <v>10.026999999999999</v>
      </c>
      <c r="K18">
        <v>229.91200000000001</v>
      </c>
      <c r="L18">
        <v>14.635999999999999</v>
      </c>
      <c r="M18">
        <v>52.531999999999996</v>
      </c>
      <c r="N18">
        <v>14.398</v>
      </c>
      <c r="O18">
        <v>0.92600000000000005</v>
      </c>
      <c r="P18">
        <v>0</v>
      </c>
      <c r="Q18">
        <v>27.443000000000001</v>
      </c>
      <c r="R18">
        <v>59.2</v>
      </c>
      <c r="S18">
        <v>24.93</v>
      </c>
    </row>
    <row r="19" spans="1:19" x14ac:dyDescent="0.3">
      <c r="A19" t="s">
        <v>783</v>
      </c>
      <c r="B19">
        <v>309.24700000000001</v>
      </c>
      <c r="C19">
        <v>73.131</v>
      </c>
      <c r="D19">
        <v>63.4</v>
      </c>
      <c r="E19">
        <v>0.39500000000000002</v>
      </c>
      <c r="F19">
        <v>83.817999999999998</v>
      </c>
      <c r="G19">
        <v>22.414999999999999</v>
      </c>
      <c r="H19">
        <v>91.335999999999999</v>
      </c>
      <c r="I19">
        <v>73.260000000000005</v>
      </c>
      <c r="J19">
        <v>10.039</v>
      </c>
      <c r="K19">
        <v>230.09200000000001</v>
      </c>
      <c r="L19">
        <v>14.654999999999999</v>
      </c>
      <c r="M19">
        <v>52.148000000000003</v>
      </c>
      <c r="N19">
        <v>14.403</v>
      </c>
      <c r="O19">
        <v>0.89700000000000002</v>
      </c>
      <c r="P19">
        <v>0</v>
      </c>
      <c r="Q19">
        <v>28.117999999999999</v>
      </c>
      <c r="R19">
        <v>59.1</v>
      </c>
      <c r="S19">
        <v>24.93</v>
      </c>
    </row>
    <row r="20" spans="1:19" x14ac:dyDescent="0.3">
      <c r="A20" t="s">
        <v>784</v>
      </c>
      <c r="B20">
        <v>307.26</v>
      </c>
      <c r="C20">
        <v>73.128</v>
      </c>
      <c r="D20">
        <v>63.545000000000002</v>
      </c>
      <c r="E20">
        <v>0.55800000000000005</v>
      </c>
      <c r="F20">
        <v>82.918000000000006</v>
      </c>
      <c r="G20">
        <v>22.196000000000002</v>
      </c>
      <c r="H20">
        <v>89.614000000000004</v>
      </c>
      <c r="I20">
        <v>72.947999999999993</v>
      </c>
      <c r="J20">
        <v>10.029999999999999</v>
      </c>
      <c r="K20">
        <v>229.94399999999999</v>
      </c>
      <c r="L20">
        <v>14.651</v>
      </c>
      <c r="M20">
        <v>51.947000000000003</v>
      </c>
      <c r="N20">
        <v>14.401999999999999</v>
      </c>
      <c r="O20">
        <v>0.90400000000000003</v>
      </c>
      <c r="P20">
        <v>0</v>
      </c>
      <c r="Q20">
        <v>26.366</v>
      </c>
      <c r="R20">
        <v>59.6</v>
      </c>
      <c r="S20">
        <v>24.93</v>
      </c>
    </row>
    <row r="21" spans="1:19" x14ac:dyDescent="0.3">
      <c r="A21" t="s">
        <v>785</v>
      </c>
      <c r="B21">
        <v>308.29199999999997</v>
      </c>
      <c r="C21">
        <v>73.135000000000005</v>
      </c>
      <c r="D21">
        <v>63.652999999999999</v>
      </c>
      <c r="E21">
        <v>0.64900000000000002</v>
      </c>
      <c r="F21">
        <v>83.007000000000005</v>
      </c>
      <c r="G21">
        <v>22.297999999999998</v>
      </c>
      <c r="H21">
        <v>88.792000000000002</v>
      </c>
      <c r="I21">
        <v>73.251000000000005</v>
      </c>
      <c r="J21">
        <v>10.041</v>
      </c>
      <c r="K21">
        <v>229.994</v>
      </c>
      <c r="L21">
        <v>14.670999999999999</v>
      </c>
      <c r="M21">
        <v>52.134</v>
      </c>
      <c r="N21">
        <v>14.41</v>
      </c>
      <c r="O21">
        <v>0.90900000000000003</v>
      </c>
      <c r="P21">
        <v>0</v>
      </c>
      <c r="Q21">
        <v>24.158000000000001</v>
      </c>
      <c r="R21">
        <v>60.1</v>
      </c>
      <c r="S21">
        <v>24.93</v>
      </c>
    </row>
    <row r="22" spans="1:19" x14ac:dyDescent="0.3">
      <c r="A22" t="s">
        <v>786</v>
      </c>
      <c r="B22">
        <v>310.29599999999999</v>
      </c>
      <c r="C22">
        <v>73.22</v>
      </c>
      <c r="D22">
        <v>63.741999999999997</v>
      </c>
      <c r="E22">
        <v>0.60199999999999998</v>
      </c>
      <c r="F22">
        <v>82.956999999999994</v>
      </c>
      <c r="G22">
        <v>22.654</v>
      </c>
      <c r="H22">
        <v>89.778999999999996</v>
      </c>
      <c r="I22">
        <v>72.956000000000003</v>
      </c>
      <c r="J22">
        <v>10.034000000000001</v>
      </c>
      <c r="K22">
        <v>229.94399999999999</v>
      </c>
      <c r="L22">
        <v>14.673999999999999</v>
      </c>
      <c r="M22">
        <v>52.65</v>
      </c>
      <c r="N22">
        <v>14.413</v>
      </c>
      <c r="O22">
        <v>0.92800000000000005</v>
      </c>
      <c r="P22">
        <v>0</v>
      </c>
      <c r="Q22">
        <v>23.254999999999999</v>
      </c>
      <c r="R22">
        <v>60.2</v>
      </c>
      <c r="S22">
        <v>24.93</v>
      </c>
    </row>
    <row r="23" spans="1:19" x14ac:dyDescent="0.3">
      <c r="A23" t="s">
        <v>787</v>
      </c>
      <c r="B23">
        <v>312.45</v>
      </c>
      <c r="C23">
        <v>73.236000000000004</v>
      </c>
      <c r="D23">
        <v>63.811</v>
      </c>
      <c r="E23">
        <v>0.47799999999999998</v>
      </c>
      <c r="F23">
        <v>83.795000000000002</v>
      </c>
      <c r="G23">
        <v>22.93</v>
      </c>
      <c r="H23">
        <v>91.628</v>
      </c>
      <c r="I23">
        <v>73.004999999999995</v>
      </c>
      <c r="J23">
        <v>10.039999999999999</v>
      </c>
      <c r="K23">
        <v>229.994</v>
      </c>
      <c r="L23">
        <v>14.68</v>
      </c>
      <c r="M23">
        <v>52.844999999999999</v>
      </c>
      <c r="N23">
        <v>14.413</v>
      </c>
      <c r="O23">
        <v>0.92900000000000005</v>
      </c>
      <c r="P23">
        <v>0</v>
      </c>
      <c r="Q23">
        <v>24.529</v>
      </c>
      <c r="R23">
        <v>59.8</v>
      </c>
      <c r="S23">
        <v>24.93</v>
      </c>
    </row>
    <row r="24" spans="1:19" x14ac:dyDescent="0.3">
      <c r="A24" t="s">
        <v>788</v>
      </c>
      <c r="B24">
        <v>312.46300000000002</v>
      </c>
      <c r="C24">
        <v>73.289000000000001</v>
      </c>
      <c r="D24">
        <v>63.981999999999999</v>
      </c>
      <c r="E24">
        <v>0.36599999999999999</v>
      </c>
      <c r="F24">
        <v>82.421999999999997</v>
      </c>
      <c r="G24">
        <v>23.027000000000001</v>
      </c>
      <c r="H24">
        <v>92.762</v>
      </c>
      <c r="I24">
        <v>73.272000000000006</v>
      </c>
      <c r="J24">
        <v>10.028</v>
      </c>
      <c r="K24">
        <v>229.96100000000001</v>
      </c>
      <c r="L24">
        <v>14.667999999999999</v>
      </c>
      <c r="M24">
        <v>52.747</v>
      </c>
      <c r="N24">
        <v>14.398</v>
      </c>
      <c r="O24">
        <v>0.93200000000000005</v>
      </c>
      <c r="P24">
        <v>0</v>
      </c>
      <c r="Q24">
        <v>26.873000000000001</v>
      </c>
      <c r="R24">
        <v>59.3</v>
      </c>
      <c r="S24">
        <v>24.93</v>
      </c>
    </row>
    <row r="25" spans="1:19" ht="15" thickBot="1" x14ac:dyDescent="0.35">
      <c r="A25" t="s">
        <v>789</v>
      </c>
      <c r="B25">
        <v>310.81299999999999</v>
      </c>
      <c r="C25">
        <v>73.259</v>
      </c>
      <c r="D25">
        <v>64.037999999999997</v>
      </c>
      <c r="E25">
        <v>0.34799999999999998</v>
      </c>
      <c r="F25">
        <v>83.272999999999996</v>
      </c>
      <c r="G25">
        <v>23.844999999999999</v>
      </c>
      <c r="H25">
        <v>91.498999999999995</v>
      </c>
      <c r="I25">
        <v>72.804000000000002</v>
      </c>
      <c r="J25">
        <v>10.032</v>
      </c>
      <c r="K25">
        <v>229.89500000000001</v>
      </c>
      <c r="L25">
        <v>14.669</v>
      </c>
      <c r="M25">
        <v>52.156999999999996</v>
      </c>
      <c r="N25">
        <v>14.398999999999999</v>
      </c>
      <c r="O25">
        <v>0.90300000000000002</v>
      </c>
      <c r="P25">
        <v>0</v>
      </c>
      <c r="Q25">
        <v>28.033999999999999</v>
      </c>
      <c r="R25">
        <v>59.1</v>
      </c>
      <c r="S25">
        <v>24.93</v>
      </c>
    </row>
    <row r="26" spans="1:19" ht="15" thickBot="1" x14ac:dyDescent="0.35">
      <c r="A26" t="s">
        <v>30</v>
      </c>
      <c r="B26" s="1">
        <f t="shared" ref="B26:S26" si="0">AVERAGE(B6:B25)</f>
        <v>309.26554999999996</v>
      </c>
      <c r="C26" s="1">
        <f t="shared" si="0"/>
        <v>73.076800000000006</v>
      </c>
      <c r="D26" s="1">
        <f t="shared" si="0"/>
        <v>62.986999999999988</v>
      </c>
      <c r="E26" s="10">
        <f t="shared" si="0"/>
        <v>0.49275000000000002</v>
      </c>
      <c r="F26" s="1">
        <f t="shared" si="0"/>
        <v>82.732399999999998</v>
      </c>
      <c r="G26" s="1">
        <f t="shared" si="0"/>
        <v>21.50985</v>
      </c>
      <c r="H26" s="10">
        <f t="shared" si="0"/>
        <v>90.72199999999998</v>
      </c>
      <c r="I26" s="1">
        <f t="shared" si="0"/>
        <v>73.185000000000016</v>
      </c>
      <c r="J26" s="8">
        <f t="shared" si="0"/>
        <v>10.034799999999999</v>
      </c>
      <c r="K26" s="1">
        <f t="shared" si="0"/>
        <v>229.98140000000004</v>
      </c>
      <c r="L26" s="1">
        <f t="shared" si="0"/>
        <v>14.634350000000001</v>
      </c>
      <c r="M26" s="1">
        <f t="shared" si="0"/>
        <v>52.380600000000001</v>
      </c>
      <c r="N26" s="1">
        <f t="shared" si="0"/>
        <v>14.4011</v>
      </c>
      <c r="O26" s="1">
        <f t="shared" si="0"/>
        <v>0.91205000000000003</v>
      </c>
      <c r="P26" s="1">
        <f t="shared" si="0"/>
        <v>0</v>
      </c>
      <c r="Q26" s="1">
        <f t="shared" si="0"/>
        <v>25.758249999999997</v>
      </c>
      <c r="R26" s="1">
        <f t="shared" si="0"/>
        <v>59.645000000000003</v>
      </c>
      <c r="S26" s="1">
        <f t="shared" si="0"/>
        <v>24.930000000000003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B84B-8C3D-414E-A4B3-47FBBD771DB0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0.6535185185185185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2.8936818097190153</v>
      </c>
      <c r="M2" s="8">
        <f>100*(R26/(R26+Q26))</f>
        <v>69.96134802148913</v>
      </c>
      <c r="O2" s="9">
        <f>100*((E26*C2)/((E26*C2)+(K2*E2)))</f>
        <v>15.33094554624182</v>
      </c>
      <c r="Q2" s="10">
        <f>100*J26*(1/(((C2/3.6)*E26)+((E2/3.6)*K2)))</f>
        <v>24.752674712700369</v>
      </c>
      <c r="S2" s="6">
        <v>3.54</v>
      </c>
      <c r="U2" s="10">
        <f>100*((((G26*0.001*60)*(C26-D26)*(S2/3.6)))/(((C2/3.6)*E26)+((E2/3.6)*K2)))</f>
        <v>28.617693964280395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790</v>
      </c>
      <c r="B6">
        <v>339.39299999999997</v>
      </c>
      <c r="C6">
        <v>74.733999999999995</v>
      </c>
      <c r="D6">
        <v>67.569000000000003</v>
      </c>
      <c r="E6">
        <v>0.50700000000000001</v>
      </c>
      <c r="F6">
        <v>84.682000000000002</v>
      </c>
      <c r="G6">
        <v>32.398000000000003</v>
      </c>
      <c r="H6">
        <v>96.980999999999995</v>
      </c>
      <c r="I6">
        <v>73.001000000000005</v>
      </c>
      <c r="J6">
        <v>11.754</v>
      </c>
      <c r="K6">
        <v>230.17400000000001</v>
      </c>
      <c r="L6">
        <v>17.042000000000002</v>
      </c>
      <c r="M6">
        <v>51.85</v>
      </c>
      <c r="N6">
        <v>16.942</v>
      </c>
      <c r="O6">
        <v>0.92500000000000004</v>
      </c>
      <c r="P6">
        <v>0</v>
      </c>
      <c r="Q6">
        <v>30.151</v>
      </c>
      <c r="R6">
        <v>63</v>
      </c>
      <c r="S6">
        <v>27.93</v>
      </c>
    </row>
    <row r="7" spans="1:21" x14ac:dyDescent="0.3">
      <c r="A7" t="s">
        <v>791</v>
      </c>
      <c r="B7">
        <v>338.875</v>
      </c>
      <c r="C7">
        <v>74.78</v>
      </c>
      <c r="D7">
        <v>67.683999999999997</v>
      </c>
      <c r="E7">
        <v>0.69099999999999995</v>
      </c>
      <c r="F7">
        <v>83.236999999999995</v>
      </c>
      <c r="G7">
        <v>32.811</v>
      </c>
      <c r="H7">
        <v>94.89</v>
      </c>
      <c r="I7">
        <v>73.213999999999999</v>
      </c>
      <c r="J7">
        <v>11.757</v>
      </c>
      <c r="K7">
        <v>230.02699999999999</v>
      </c>
      <c r="L7">
        <v>17.042000000000002</v>
      </c>
      <c r="M7">
        <v>51.777000000000001</v>
      </c>
      <c r="N7">
        <v>16.937000000000001</v>
      </c>
      <c r="O7">
        <v>0.92100000000000004</v>
      </c>
      <c r="P7">
        <v>0</v>
      </c>
      <c r="Q7">
        <v>26.774999999999999</v>
      </c>
      <c r="R7">
        <v>63.7</v>
      </c>
      <c r="S7">
        <v>27.93</v>
      </c>
    </row>
    <row r="8" spans="1:21" x14ac:dyDescent="0.3">
      <c r="A8" t="s">
        <v>792</v>
      </c>
      <c r="B8">
        <v>342.726</v>
      </c>
      <c r="C8">
        <v>74.78</v>
      </c>
      <c r="D8">
        <v>67.872</v>
      </c>
      <c r="E8">
        <v>0.79700000000000004</v>
      </c>
      <c r="F8">
        <v>84.298000000000002</v>
      </c>
      <c r="G8">
        <v>32.351999999999997</v>
      </c>
      <c r="H8">
        <v>94.16</v>
      </c>
      <c r="I8">
        <v>72.864999999999995</v>
      </c>
      <c r="J8">
        <v>11.762</v>
      </c>
      <c r="K8">
        <v>230.404</v>
      </c>
      <c r="L8">
        <v>17.062999999999999</v>
      </c>
      <c r="M8">
        <v>52.12</v>
      </c>
      <c r="N8">
        <v>16.920000000000002</v>
      </c>
      <c r="O8">
        <v>0.91600000000000004</v>
      </c>
      <c r="P8">
        <v>0</v>
      </c>
      <c r="Q8">
        <v>24.53</v>
      </c>
      <c r="R8">
        <v>64.3</v>
      </c>
      <c r="S8">
        <v>27.93</v>
      </c>
    </row>
    <row r="9" spans="1:21" x14ac:dyDescent="0.3">
      <c r="A9" t="s">
        <v>793</v>
      </c>
      <c r="B9">
        <v>346.18099999999998</v>
      </c>
      <c r="C9">
        <v>74.83</v>
      </c>
      <c r="D9">
        <v>67.924000000000007</v>
      </c>
      <c r="E9">
        <v>0.70599999999999996</v>
      </c>
      <c r="F9">
        <v>83.158000000000001</v>
      </c>
      <c r="G9">
        <v>32.991</v>
      </c>
      <c r="H9">
        <v>95.778000000000006</v>
      </c>
      <c r="I9">
        <v>72.959999999999994</v>
      </c>
      <c r="J9">
        <v>11.757999999999999</v>
      </c>
      <c r="K9">
        <v>229.78</v>
      </c>
      <c r="L9">
        <v>17.039000000000001</v>
      </c>
      <c r="M9">
        <v>52.447000000000003</v>
      </c>
      <c r="N9">
        <v>16.922000000000001</v>
      </c>
      <c r="O9">
        <v>0.90500000000000003</v>
      </c>
      <c r="P9">
        <v>0</v>
      </c>
      <c r="Q9">
        <v>24.384</v>
      </c>
      <c r="R9">
        <v>64</v>
      </c>
      <c r="S9">
        <v>27.93</v>
      </c>
    </row>
    <row r="10" spans="1:21" x14ac:dyDescent="0.3">
      <c r="A10" t="s">
        <v>794</v>
      </c>
      <c r="B10">
        <v>345.10500000000002</v>
      </c>
      <c r="C10">
        <v>74.793999999999997</v>
      </c>
      <c r="D10">
        <v>68.039000000000001</v>
      </c>
      <c r="E10">
        <v>0.505</v>
      </c>
      <c r="F10">
        <v>84.304000000000002</v>
      </c>
      <c r="G10">
        <v>33.381999999999998</v>
      </c>
      <c r="H10">
        <v>98.242000000000004</v>
      </c>
      <c r="I10">
        <v>73.082999999999998</v>
      </c>
      <c r="J10">
        <v>11.759</v>
      </c>
      <c r="K10">
        <v>230.25700000000001</v>
      </c>
      <c r="L10">
        <v>17.044</v>
      </c>
      <c r="M10">
        <v>52.627000000000002</v>
      </c>
      <c r="N10">
        <v>16.939</v>
      </c>
      <c r="O10">
        <v>0.92100000000000004</v>
      </c>
      <c r="P10">
        <v>0</v>
      </c>
      <c r="Q10">
        <v>27.393999999999998</v>
      </c>
      <c r="R10">
        <v>63.3</v>
      </c>
      <c r="S10">
        <v>27.93</v>
      </c>
    </row>
    <row r="11" spans="1:21" x14ac:dyDescent="0.3">
      <c r="A11" t="s">
        <v>795</v>
      </c>
      <c r="B11">
        <v>341.75900000000001</v>
      </c>
      <c r="C11">
        <v>74.802999999999997</v>
      </c>
      <c r="D11">
        <v>68.167000000000002</v>
      </c>
      <c r="E11">
        <v>0.441</v>
      </c>
      <c r="F11">
        <v>83.411000000000001</v>
      </c>
      <c r="G11">
        <v>34.215000000000003</v>
      </c>
      <c r="H11">
        <v>99.09</v>
      </c>
      <c r="I11">
        <v>72.856999999999999</v>
      </c>
      <c r="J11">
        <v>11.75</v>
      </c>
      <c r="K11">
        <v>229.846</v>
      </c>
      <c r="L11">
        <v>17.105</v>
      </c>
      <c r="M11">
        <v>52.222999999999999</v>
      </c>
      <c r="N11">
        <v>16.933</v>
      </c>
      <c r="O11">
        <v>0.93200000000000005</v>
      </c>
      <c r="P11">
        <v>0</v>
      </c>
      <c r="Q11">
        <v>29.879000000000001</v>
      </c>
      <c r="R11">
        <v>62.7</v>
      </c>
      <c r="S11">
        <v>27.93</v>
      </c>
    </row>
    <row r="12" spans="1:21" x14ac:dyDescent="0.3">
      <c r="A12" t="s">
        <v>796</v>
      </c>
      <c r="B12">
        <v>338.83800000000002</v>
      </c>
      <c r="C12">
        <v>74.894999999999996</v>
      </c>
      <c r="D12">
        <v>68.278999999999996</v>
      </c>
      <c r="E12">
        <v>0.47899999999999998</v>
      </c>
      <c r="F12">
        <v>85.162000000000006</v>
      </c>
      <c r="G12">
        <v>34.372999999999998</v>
      </c>
      <c r="H12">
        <v>96.962000000000003</v>
      </c>
      <c r="I12">
        <v>72.927000000000007</v>
      </c>
      <c r="J12">
        <v>11.76</v>
      </c>
      <c r="K12">
        <v>230.28899999999999</v>
      </c>
      <c r="L12">
        <v>17.167999999999999</v>
      </c>
      <c r="M12">
        <v>51.88</v>
      </c>
      <c r="N12">
        <v>16.934000000000001</v>
      </c>
      <c r="O12">
        <v>0.93700000000000006</v>
      </c>
      <c r="P12">
        <v>0</v>
      </c>
      <c r="Q12">
        <v>30.187999999999999</v>
      </c>
      <c r="R12">
        <v>62.9</v>
      </c>
      <c r="S12">
        <v>27.93</v>
      </c>
    </row>
    <row r="13" spans="1:21" x14ac:dyDescent="0.3">
      <c r="A13" t="s">
        <v>797</v>
      </c>
      <c r="B13">
        <v>340.04500000000002</v>
      </c>
      <c r="C13">
        <v>74.902000000000001</v>
      </c>
      <c r="D13">
        <v>68.334999999999994</v>
      </c>
      <c r="E13">
        <v>0.68799999999999994</v>
      </c>
      <c r="F13">
        <v>84.784000000000006</v>
      </c>
      <c r="G13">
        <v>34.088999999999999</v>
      </c>
      <c r="H13">
        <v>94.978999999999999</v>
      </c>
      <c r="I13">
        <v>73.128</v>
      </c>
      <c r="J13">
        <v>11.755000000000001</v>
      </c>
      <c r="K13">
        <v>229.994</v>
      </c>
      <c r="L13">
        <v>17.094999999999999</v>
      </c>
      <c r="M13">
        <v>51.817999999999998</v>
      </c>
      <c r="N13">
        <v>16.934999999999999</v>
      </c>
      <c r="O13">
        <v>0.90400000000000003</v>
      </c>
      <c r="P13">
        <v>0</v>
      </c>
      <c r="Q13">
        <v>26.497</v>
      </c>
      <c r="R13">
        <v>63.9</v>
      </c>
      <c r="S13">
        <v>27.93</v>
      </c>
    </row>
    <row r="14" spans="1:21" x14ac:dyDescent="0.3">
      <c r="A14" t="s">
        <v>798</v>
      </c>
      <c r="B14">
        <v>343.93299999999999</v>
      </c>
      <c r="C14">
        <v>75.05</v>
      </c>
      <c r="D14">
        <v>68.364000000000004</v>
      </c>
      <c r="E14">
        <v>0.79800000000000004</v>
      </c>
      <c r="F14">
        <v>84.528000000000006</v>
      </c>
      <c r="G14">
        <v>34.454999999999998</v>
      </c>
      <c r="H14">
        <v>94.164000000000001</v>
      </c>
      <c r="I14">
        <v>73.021000000000001</v>
      </c>
      <c r="J14">
        <v>11.766999999999999</v>
      </c>
      <c r="K14">
        <v>230.28899999999999</v>
      </c>
      <c r="L14">
        <v>17.143999999999998</v>
      </c>
      <c r="M14">
        <v>52.02</v>
      </c>
      <c r="N14">
        <v>16.937999999999999</v>
      </c>
      <c r="O14">
        <v>0.91600000000000004</v>
      </c>
      <c r="P14">
        <v>0</v>
      </c>
      <c r="Q14">
        <v>24.439</v>
      </c>
      <c r="R14">
        <v>64.3</v>
      </c>
      <c r="S14">
        <v>27.93</v>
      </c>
    </row>
    <row r="15" spans="1:21" x14ac:dyDescent="0.3">
      <c r="A15" t="s">
        <v>799</v>
      </c>
      <c r="B15">
        <v>348.089</v>
      </c>
      <c r="C15">
        <v>75.05</v>
      </c>
      <c r="D15">
        <v>68.424000000000007</v>
      </c>
      <c r="E15">
        <v>0.72299999999999998</v>
      </c>
      <c r="F15">
        <v>84.441999999999993</v>
      </c>
      <c r="G15">
        <v>35.472000000000001</v>
      </c>
      <c r="H15">
        <v>96.072000000000003</v>
      </c>
      <c r="I15">
        <v>72.775000000000006</v>
      </c>
      <c r="J15">
        <v>11.754</v>
      </c>
      <c r="K15">
        <v>229.91200000000001</v>
      </c>
      <c r="L15">
        <v>17.134</v>
      </c>
      <c r="M15">
        <v>52.488999999999997</v>
      </c>
      <c r="N15">
        <v>16.942</v>
      </c>
      <c r="O15">
        <v>0.92700000000000005</v>
      </c>
      <c r="P15">
        <v>0</v>
      </c>
      <c r="Q15">
        <v>24.317</v>
      </c>
      <c r="R15">
        <v>64.099999999999994</v>
      </c>
      <c r="S15">
        <v>27.93</v>
      </c>
    </row>
    <row r="16" spans="1:21" x14ac:dyDescent="0.3">
      <c r="A16" t="s">
        <v>800</v>
      </c>
      <c r="B16">
        <v>346.80700000000002</v>
      </c>
      <c r="C16">
        <v>75.102000000000004</v>
      </c>
      <c r="D16">
        <v>68.478999999999999</v>
      </c>
      <c r="E16">
        <v>0.45300000000000001</v>
      </c>
      <c r="F16">
        <v>84.051000000000002</v>
      </c>
      <c r="G16">
        <v>35.58</v>
      </c>
      <c r="H16">
        <v>98.394999999999996</v>
      </c>
      <c r="I16">
        <v>73.213999999999999</v>
      </c>
      <c r="J16">
        <v>11.759</v>
      </c>
      <c r="K16">
        <v>230.191</v>
      </c>
      <c r="L16">
        <v>16.943999999999999</v>
      </c>
      <c r="M16">
        <v>52.627000000000002</v>
      </c>
      <c r="N16">
        <v>16.937999999999999</v>
      </c>
      <c r="O16">
        <v>0.94399999999999995</v>
      </c>
      <c r="P16">
        <v>0</v>
      </c>
      <c r="Q16">
        <v>27.469000000000001</v>
      </c>
      <c r="R16">
        <v>63.3</v>
      </c>
      <c r="S16">
        <v>27.93</v>
      </c>
    </row>
    <row r="17" spans="1:19" x14ac:dyDescent="0.3">
      <c r="A17" t="s">
        <v>801</v>
      </c>
      <c r="B17">
        <v>343.35399999999998</v>
      </c>
      <c r="C17">
        <v>75.078999999999994</v>
      </c>
      <c r="D17">
        <v>68.567999999999998</v>
      </c>
      <c r="E17">
        <v>0.42199999999999999</v>
      </c>
      <c r="F17">
        <v>84.912000000000006</v>
      </c>
      <c r="G17">
        <v>36.018999999999998</v>
      </c>
      <c r="H17">
        <v>99.043999999999997</v>
      </c>
      <c r="I17">
        <v>72.680999999999997</v>
      </c>
      <c r="J17">
        <v>11.747999999999999</v>
      </c>
      <c r="K17">
        <v>229.797</v>
      </c>
      <c r="L17">
        <v>16.940999999999999</v>
      </c>
      <c r="M17">
        <v>52.28</v>
      </c>
      <c r="N17">
        <v>16.933</v>
      </c>
      <c r="O17">
        <v>0.91900000000000004</v>
      </c>
      <c r="P17">
        <v>0</v>
      </c>
      <c r="Q17">
        <v>29.925999999999998</v>
      </c>
      <c r="R17">
        <v>62.8</v>
      </c>
      <c r="S17">
        <v>27.93</v>
      </c>
    </row>
    <row r="18" spans="1:19" x14ac:dyDescent="0.3">
      <c r="A18" t="s">
        <v>802</v>
      </c>
      <c r="B18">
        <v>340.39800000000002</v>
      </c>
      <c r="C18">
        <v>75.088999999999999</v>
      </c>
      <c r="D18">
        <v>68.725999999999999</v>
      </c>
      <c r="E18">
        <v>0.48</v>
      </c>
      <c r="F18">
        <v>84.760999999999996</v>
      </c>
      <c r="G18">
        <v>35.843000000000004</v>
      </c>
      <c r="H18">
        <v>97.103999999999999</v>
      </c>
      <c r="I18">
        <v>72.975999999999999</v>
      </c>
      <c r="J18">
        <v>11.757999999999999</v>
      </c>
      <c r="K18">
        <v>230.191</v>
      </c>
      <c r="L18">
        <v>17.013999999999999</v>
      </c>
      <c r="M18">
        <v>51.845999999999997</v>
      </c>
      <c r="N18">
        <v>16.940999999999999</v>
      </c>
      <c r="O18">
        <v>0.92600000000000005</v>
      </c>
      <c r="P18">
        <v>0</v>
      </c>
      <c r="Q18">
        <v>30.177</v>
      </c>
      <c r="R18">
        <v>62.9</v>
      </c>
      <c r="S18">
        <v>27.93</v>
      </c>
    </row>
    <row r="19" spans="1:19" x14ac:dyDescent="0.3">
      <c r="A19" t="s">
        <v>803</v>
      </c>
      <c r="B19">
        <v>341.267</v>
      </c>
      <c r="C19">
        <v>75.152000000000001</v>
      </c>
      <c r="D19">
        <v>68.765000000000001</v>
      </c>
      <c r="E19">
        <v>0.68600000000000005</v>
      </c>
      <c r="F19">
        <v>85.7</v>
      </c>
      <c r="G19">
        <v>35.661000000000001</v>
      </c>
      <c r="H19">
        <v>94.947999999999993</v>
      </c>
      <c r="I19">
        <v>73.213999999999999</v>
      </c>
      <c r="J19">
        <v>11.753</v>
      </c>
      <c r="K19">
        <v>229.81299999999999</v>
      </c>
      <c r="L19">
        <v>17.03</v>
      </c>
      <c r="M19">
        <v>51.728000000000002</v>
      </c>
      <c r="N19">
        <v>16.937000000000001</v>
      </c>
      <c r="O19">
        <v>0.92200000000000004</v>
      </c>
      <c r="P19">
        <v>0</v>
      </c>
      <c r="Q19">
        <v>26.54</v>
      </c>
      <c r="R19">
        <v>63.7</v>
      </c>
      <c r="S19">
        <v>27.93</v>
      </c>
    </row>
    <row r="20" spans="1:19" x14ac:dyDescent="0.3">
      <c r="A20" t="s">
        <v>804</v>
      </c>
      <c r="B20">
        <v>345.048</v>
      </c>
      <c r="C20">
        <v>75.135000000000005</v>
      </c>
      <c r="D20">
        <v>68.828000000000003</v>
      </c>
      <c r="E20">
        <v>0.82899999999999996</v>
      </c>
      <c r="F20">
        <v>85.456999999999994</v>
      </c>
      <c r="G20">
        <v>36.491999999999997</v>
      </c>
      <c r="H20">
        <v>94.206999999999994</v>
      </c>
      <c r="I20">
        <v>72.738</v>
      </c>
      <c r="J20">
        <v>11.76</v>
      </c>
      <c r="K20">
        <v>230.191</v>
      </c>
      <c r="L20">
        <v>17.047000000000001</v>
      </c>
      <c r="M20">
        <v>52.09</v>
      </c>
      <c r="N20">
        <v>16.934999999999999</v>
      </c>
      <c r="O20">
        <v>0.92700000000000005</v>
      </c>
      <c r="P20">
        <v>0</v>
      </c>
      <c r="Q20">
        <v>24.456</v>
      </c>
      <c r="R20">
        <v>64.3</v>
      </c>
      <c r="S20">
        <v>27.93</v>
      </c>
    </row>
    <row r="21" spans="1:19" x14ac:dyDescent="0.3">
      <c r="A21" t="s">
        <v>805</v>
      </c>
      <c r="B21">
        <v>348.98899999999998</v>
      </c>
      <c r="C21">
        <v>75.254000000000005</v>
      </c>
      <c r="D21">
        <v>68.933000000000007</v>
      </c>
      <c r="E21">
        <v>0.77100000000000002</v>
      </c>
      <c r="F21">
        <v>83.995000000000005</v>
      </c>
      <c r="G21">
        <v>36.689</v>
      </c>
      <c r="H21">
        <v>96.075000000000003</v>
      </c>
      <c r="I21">
        <v>72.894000000000005</v>
      </c>
      <c r="J21">
        <v>11.757</v>
      </c>
      <c r="K21">
        <v>229.74700000000001</v>
      </c>
      <c r="L21">
        <v>17.018999999999998</v>
      </c>
      <c r="M21">
        <v>52.484999999999999</v>
      </c>
      <c r="N21">
        <v>16.952000000000002</v>
      </c>
      <c r="O21">
        <v>0.95499999999999996</v>
      </c>
      <c r="P21">
        <v>0</v>
      </c>
      <c r="Q21">
        <v>24.47</v>
      </c>
      <c r="R21">
        <v>64.099999999999994</v>
      </c>
      <c r="S21">
        <v>27.93</v>
      </c>
    </row>
    <row r="22" spans="1:19" x14ac:dyDescent="0.3">
      <c r="A22" t="s">
        <v>806</v>
      </c>
      <c r="B22">
        <v>347.45400000000001</v>
      </c>
      <c r="C22">
        <v>75.236999999999995</v>
      </c>
      <c r="D22">
        <v>69.018000000000001</v>
      </c>
      <c r="E22">
        <v>0.56499999999999995</v>
      </c>
      <c r="F22">
        <v>83.466999999999999</v>
      </c>
      <c r="G22">
        <v>37.265000000000001</v>
      </c>
      <c r="H22">
        <v>98.253</v>
      </c>
      <c r="I22">
        <v>73.197999999999993</v>
      </c>
      <c r="J22">
        <v>11.76</v>
      </c>
      <c r="K22">
        <v>230.22399999999999</v>
      </c>
      <c r="L22">
        <v>17.048999999999999</v>
      </c>
      <c r="M22">
        <v>52.643999999999998</v>
      </c>
      <c r="N22">
        <v>16.940999999999999</v>
      </c>
      <c r="O22">
        <v>0.91400000000000003</v>
      </c>
      <c r="P22">
        <v>0</v>
      </c>
      <c r="Q22">
        <v>27.550999999999998</v>
      </c>
      <c r="R22">
        <v>63.1</v>
      </c>
      <c r="S22">
        <v>27.93</v>
      </c>
    </row>
    <row r="23" spans="1:19" x14ac:dyDescent="0.3">
      <c r="A23" t="s">
        <v>807</v>
      </c>
      <c r="B23">
        <v>343.85300000000001</v>
      </c>
      <c r="C23">
        <v>75.224000000000004</v>
      </c>
      <c r="D23">
        <v>69.058000000000007</v>
      </c>
      <c r="E23">
        <v>0.45500000000000002</v>
      </c>
      <c r="F23">
        <v>85.177999999999997</v>
      </c>
      <c r="G23">
        <v>37.752000000000002</v>
      </c>
      <c r="H23">
        <v>99.15</v>
      </c>
      <c r="I23">
        <v>72.927000000000007</v>
      </c>
      <c r="J23">
        <v>11.749000000000001</v>
      </c>
      <c r="K23">
        <v>229.87899999999999</v>
      </c>
      <c r="L23">
        <v>17.032</v>
      </c>
      <c r="M23">
        <v>52.235999999999997</v>
      </c>
      <c r="N23">
        <v>16.937000000000001</v>
      </c>
      <c r="O23">
        <v>0.94499999999999995</v>
      </c>
      <c r="P23">
        <v>0</v>
      </c>
      <c r="Q23">
        <v>29.888999999999999</v>
      </c>
      <c r="R23">
        <v>62.9</v>
      </c>
      <c r="S23">
        <v>27.93</v>
      </c>
    </row>
    <row r="24" spans="1:19" x14ac:dyDescent="0.3">
      <c r="A24" t="s">
        <v>808</v>
      </c>
      <c r="B24">
        <v>340.90899999999999</v>
      </c>
      <c r="C24">
        <v>75.3</v>
      </c>
      <c r="D24">
        <v>69.176000000000002</v>
      </c>
      <c r="E24">
        <v>0.58599999999999997</v>
      </c>
      <c r="F24">
        <v>84.965000000000003</v>
      </c>
      <c r="G24">
        <v>37.912999999999997</v>
      </c>
      <c r="H24">
        <v>96.896000000000001</v>
      </c>
      <c r="I24">
        <v>72.923000000000002</v>
      </c>
      <c r="J24">
        <v>11.757999999999999</v>
      </c>
      <c r="K24">
        <v>230.20699999999999</v>
      </c>
      <c r="L24">
        <v>17.053999999999998</v>
      </c>
      <c r="M24">
        <v>51.844000000000001</v>
      </c>
      <c r="N24">
        <v>16.940000000000001</v>
      </c>
      <c r="O24">
        <v>0.94699999999999995</v>
      </c>
      <c r="P24">
        <v>0</v>
      </c>
      <c r="Q24">
        <v>30.033000000000001</v>
      </c>
      <c r="R24">
        <v>62.9</v>
      </c>
      <c r="S24">
        <v>27.93</v>
      </c>
    </row>
    <row r="25" spans="1:19" ht="15" thickBot="1" x14ac:dyDescent="0.35">
      <c r="A25" t="s">
        <v>809</v>
      </c>
      <c r="B25">
        <v>342.65499999999997</v>
      </c>
      <c r="C25">
        <v>75.346000000000004</v>
      </c>
      <c r="D25">
        <v>69.281000000000006</v>
      </c>
      <c r="E25">
        <v>0.69599999999999995</v>
      </c>
      <c r="F25">
        <v>83.91</v>
      </c>
      <c r="G25">
        <v>37.433</v>
      </c>
      <c r="H25">
        <v>94.796999999999997</v>
      </c>
      <c r="I25">
        <v>73.135999999999996</v>
      </c>
      <c r="J25">
        <v>11.750999999999999</v>
      </c>
      <c r="K25">
        <v>229.89500000000001</v>
      </c>
      <c r="L25">
        <v>17.027000000000001</v>
      </c>
      <c r="M25">
        <v>51.774999999999999</v>
      </c>
      <c r="N25">
        <v>16.940999999999999</v>
      </c>
      <c r="O25">
        <v>0.94199999999999995</v>
      </c>
      <c r="P25">
        <v>0</v>
      </c>
      <c r="Q25">
        <v>26.265999999999998</v>
      </c>
      <c r="R25">
        <v>63.9</v>
      </c>
      <c r="S25">
        <v>27.93</v>
      </c>
    </row>
    <row r="26" spans="1:19" ht="15" thickBot="1" x14ac:dyDescent="0.35">
      <c r="A26" t="s">
        <v>30</v>
      </c>
      <c r="B26" s="1">
        <f t="shared" ref="B26:S26" si="0">AVERAGE(B6:B25)</f>
        <v>343.28389999999996</v>
      </c>
      <c r="C26" s="1">
        <f t="shared" si="0"/>
        <v>75.026799999999994</v>
      </c>
      <c r="D26" s="1">
        <f t="shared" si="0"/>
        <v>68.474450000000004</v>
      </c>
      <c r="E26" s="10">
        <f t="shared" si="0"/>
        <v>0.6139</v>
      </c>
      <c r="F26" s="1">
        <f t="shared" si="0"/>
        <v>84.420100000000005</v>
      </c>
      <c r="G26" s="1">
        <f t="shared" si="0"/>
        <v>35.159249999999993</v>
      </c>
      <c r="H26" s="10">
        <f t="shared" si="0"/>
        <v>96.509350000000012</v>
      </c>
      <c r="I26" s="1">
        <f t="shared" si="0"/>
        <v>72.986599999999996</v>
      </c>
      <c r="J26" s="8">
        <f t="shared" si="0"/>
        <v>11.756449999999999</v>
      </c>
      <c r="K26" s="1">
        <f t="shared" si="0"/>
        <v>230.05535</v>
      </c>
      <c r="L26" s="1">
        <f t="shared" si="0"/>
        <v>17.051649999999999</v>
      </c>
      <c r="M26" s="1">
        <f t="shared" si="0"/>
        <v>52.140300000000003</v>
      </c>
      <c r="N26" s="1">
        <f t="shared" si="0"/>
        <v>16.93685</v>
      </c>
      <c r="O26" s="1">
        <f t="shared" si="0"/>
        <v>0.92724999999999991</v>
      </c>
      <c r="P26" s="1">
        <f t="shared" si="0"/>
        <v>0</v>
      </c>
      <c r="Q26" s="1">
        <f t="shared" si="0"/>
        <v>27.266549999999995</v>
      </c>
      <c r="R26" s="1">
        <f t="shared" si="0"/>
        <v>63.50500000000001</v>
      </c>
      <c r="S26" s="1">
        <f t="shared" si="0"/>
        <v>27.93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1BB4-C5E2-410E-A061-92F3C9736DBE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0.63740740740740742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1.7034316228288731</v>
      </c>
      <c r="M2" s="8">
        <f>100*(R26/(R26+Q26))</f>
        <v>60.062073567355952</v>
      </c>
      <c r="O2" s="9">
        <f>100*((E26*C2)/((E26*C2)+(K2*E2)))</f>
        <v>14.14962007592851</v>
      </c>
      <c r="Q2" s="10">
        <f>100*J26*(1/(((C2/3.6)*E26)+((E2/3.6)*K2)))</f>
        <v>4.3518183595316713E-3</v>
      </c>
      <c r="S2" s="6">
        <v>3.54</v>
      </c>
      <c r="U2" s="10">
        <f>100*((((G26*0.001*60)*(C26-D26)*(S2/3.6)))/(((C2/3.6)*E26)+((E2/3.6)*K2)))</f>
        <v>19.905456980402302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510</v>
      </c>
      <c r="B6">
        <v>146.28399999999999</v>
      </c>
      <c r="C6">
        <v>69.435000000000002</v>
      </c>
      <c r="D6">
        <v>46.225000000000001</v>
      </c>
      <c r="E6">
        <v>0.27800000000000002</v>
      </c>
      <c r="F6">
        <v>79.231999999999999</v>
      </c>
      <c r="G6">
        <v>4.0259999999999998</v>
      </c>
      <c r="H6">
        <v>65.537999999999997</v>
      </c>
      <c r="I6">
        <v>61.642000000000003</v>
      </c>
      <c r="J6">
        <v>2E-3</v>
      </c>
      <c r="K6">
        <v>229.69800000000001</v>
      </c>
      <c r="L6">
        <v>0.104</v>
      </c>
      <c r="M6">
        <v>53.015000000000001</v>
      </c>
      <c r="N6">
        <v>0</v>
      </c>
      <c r="O6">
        <v>0.875</v>
      </c>
      <c r="P6">
        <v>0</v>
      </c>
      <c r="Q6">
        <v>24.088999999999999</v>
      </c>
      <c r="R6">
        <v>36.9</v>
      </c>
      <c r="S6">
        <v>9.9</v>
      </c>
    </row>
    <row r="7" spans="1:21" x14ac:dyDescent="0.3">
      <c r="A7" t="s">
        <v>511</v>
      </c>
      <c r="B7">
        <v>145.804</v>
      </c>
      <c r="C7">
        <v>69.363</v>
      </c>
      <c r="D7">
        <v>46.377000000000002</v>
      </c>
      <c r="E7">
        <v>0.307</v>
      </c>
      <c r="F7">
        <v>78.91</v>
      </c>
      <c r="G7">
        <v>4.2309999999999999</v>
      </c>
      <c r="H7">
        <v>64.683000000000007</v>
      </c>
      <c r="I7">
        <v>61.392000000000003</v>
      </c>
      <c r="J7">
        <v>1E-3</v>
      </c>
      <c r="K7">
        <v>229.928</v>
      </c>
      <c r="L7">
        <v>3.2000000000000001E-2</v>
      </c>
      <c r="M7">
        <v>52.817999999999998</v>
      </c>
      <c r="N7">
        <v>0</v>
      </c>
      <c r="O7">
        <v>0.87</v>
      </c>
      <c r="P7">
        <v>0</v>
      </c>
      <c r="Q7">
        <v>22.622</v>
      </c>
      <c r="R7">
        <v>37.9</v>
      </c>
      <c r="S7">
        <v>9.9</v>
      </c>
    </row>
    <row r="8" spans="1:21" x14ac:dyDescent="0.3">
      <c r="A8" t="s">
        <v>512</v>
      </c>
      <c r="B8">
        <v>145.31800000000001</v>
      </c>
      <c r="C8">
        <v>69.412000000000006</v>
      </c>
      <c r="D8">
        <v>46.356999999999999</v>
      </c>
      <c r="E8">
        <v>0.35</v>
      </c>
      <c r="F8">
        <v>79.051000000000002</v>
      </c>
      <c r="G8">
        <v>3.714</v>
      </c>
      <c r="H8">
        <v>64.948999999999998</v>
      </c>
      <c r="I8">
        <v>61.511000000000003</v>
      </c>
      <c r="J8">
        <v>1E-3</v>
      </c>
      <c r="K8">
        <v>229.76400000000001</v>
      </c>
      <c r="L8">
        <v>2E-3</v>
      </c>
      <c r="M8">
        <v>52.737000000000002</v>
      </c>
      <c r="N8">
        <v>0</v>
      </c>
      <c r="O8">
        <v>0.85899999999999999</v>
      </c>
      <c r="P8">
        <v>0</v>
      </c>
      <c r="Q8">
        <v>22.463000000000001</v>
      </c>
      <c r="R8">
        <v>38.200000000000003</v>
      </c>
      <c r="S8">
        <v>9.9</v>
      </c>
    </row>
    <row r="9" spans="1:21" x14ac:dyDescent="0.3">
      <c r="A9" t="s">
        <v>513</v>
      </c>
      <c r="B9">
        <v>145.28100000000001</v>
      </c>
      <c r="C9">
        <v>69.304000000000002</v>
      </c>
      <c r="D9">
        <v>46.39</v>
      </c>
      <c r="E9">
        <v>0.36399999999999999</v>
      </c>
      <c r="F9">
        <v>78.278999999999996</v>
      </c>
      <c r="G9">
        <v>4.0679999999999996</v>
      </c>
      <c r="H9">
        <v>65.942999999999998</v>
      </c>
      <c r="I9">
        <v>61.618000000000002</v>
      </c>
      <c r="J9">
        <v>2E-3</v>
      </c>
      <c r="K9">
        <v>229.928</v>
      </c>
      <c r="L9">
        <v>1E-3</v>
      </c>
      <c r="M9">
        <v>52.841000000000001</v>
      </c>
      <c r="N9">
        <v>0</v>
      </c>
      <c r="O9">
        <v>0.87</v>
      </c>
      <c r="P9">
        <v>0</v>
      </c>
      <c r="Q9">
        <v>24.318000000000001</v>
      </c>
      <c r="R9">
        <v>37.799999999999997</v>
      </c>
      <c r="S9">
        <v>9.9</v>
      </c>
    </row>
    <row r="10" spans="1:21" x14ac:dyDescent="0.3">
      <c r="A10" t="s">
        <v>514</v>
      </c>
      <c r="B10">
        <v>145.59800000000001</v>
      </c>
      <c r="C10">
        <v>69.388999999999996</v>
      </c>
      <c r="D10">
        <v>46.426000000000002</v>
      </c>
      <c r="E10">
        <v>0.36299999999999999</v>
      </c>
      <c r="F10">
        <v>79.921999999999997</v>
      </c>
      <c r="G10">
        <v>4.0860000000000003</v>
      </c>
      <c r="H10">
        <v>67.070999999999998</v>
      </c>
      <c r="I10">
        <v>61.884999999999998</v>
      </c>
      <c r="J10">
        <v>0</v>
      </c>
      <c r="K10">
        <v>229.78</v>
      </c>
      <c r="L10">
        <v>2E-3</v>
      </c>
      <c r="M10">
        <v>53.067999999999998</v>
      </c>
      <c r="N10">
        <v>0</v>
      </c>
      <c r="O10">
        <v>0.85799999999999998</v>
      </c>
      <c r="P10">
        <v>0</v>
      </c>
      <c r="Q10">
        <v>26.439</v>
      </c>
      <c r="R10">
        <v>36.799999999999997</v>
      </c>
      <c r="S10">
        <v>9.9</v>
      </c>
    </row>
    <row r="11" spans="1:21" x14ac:dyDescent="0.3">
      <c r="A11" t="s">
        <v>515</v>
      </c>
      <c r="B11">
        <v>145.77699999999999</v>
      </c>
      <c r="C11">
        <v>69.290999999999997</v>
      </c>
      <c r="D11">
        <v>46.244999999999997</v>
      </c>
      <c r="E11">
        <v>0.32</v>
      </c>
      <c r="F11">
        <v>79.061000000000007</v>
      </c>
      <c r="G11">
        <v>4.3440000000000003</v>
      </c>
      <c r="H11">
        <v>67.426000000000002</v>
      </c>
      <c r="I11">
        <v>61.893000000000001</v>
      </c>
      <c r="J11">
        <v>0</v>
      </c>
      <c r="K11">
        <v>229.87899999999999</v>
      </c>
      <c r="L11">
        <v>3.0000000000000001E-3</v>
      </c>
      <c r="M11">
        <v>53.262999999999998</v>
      </c>
      <c r="N11">
        <v>0</v>
      </c>
      <c r="O11">
        <v>0.88300000000000001</v>
      </c>
      <c r="P11">
        <v>0</v>
      </c>
      <c r="Q11">
        <v>27.396999999999998</v>
      </c>
      <c r="R11">
        <v>36.1</v>
      </c>
      <c r="S11">
        <v>9.9</v>
      </c>
    </row>
    <row r="12" spans="1:21" x14ac:dyDescent="0.3">
      <c r="A12" t="s">
        <v>516</v>
      </c>
      <c r="B12">
        <v>146.21299999999999</v>
      </c>
      <c r="C12">
        <v>69.284000000000006</v>
      </c>
      <c r="D12">
        <v>46.298000000000002</v>
      </c>
      <c r="E12">
        <v>0.27900000000000003</v>
      </c>
      <c r="F12">
        <v>78.253</v>
      </c>
      <c r="G12">
        <v>3.6840000000000002</v>
      </c>
      <c r="H12">
        <v>66.828999999999994</v>
      </c>
      <c r="I12">
        <v>61.744999999999997</v>
      </c>
      <c r="J12">
        <v>1E-3</v>
      </c>
      <c r="K12">
        <v>229.797</v>
      </c>
      <c r="L12">
        <v>8.9999999999999993E-3</v>
      </c>
      <c r="M12">
        <v>53.088000000000001</v>
      </c>
      <c r="N12">
        <v>0</v>
      </c>
      <c r="O12">
        <v>0.878</v>
      </c>
      <c r="P12">
        <v>0</v>
      </c>
      <c r="Q12">
        <v>26.655000000000001</v>
      </c>
      <c r="R12">
        <v>36.1</v>
      </c>
      <c r="S12">
        <v>9.9</v>
      </c>
    </row>
    <row r="13" spans="1:21" x14ac:dyDescent="0.3">
      <c r="A13" t="s">
        <v>517</v>
      </c>
      <c r="B13">
        <v>146.215</v>
      </c>
      <c r="C13">
        <v>69.278000000000006</v>
      </c>
      <c r="D13">
        <v>46.284999999999997</v>
      </c>
      <c r="E13">
        <v>0.28199999999999997</v>
      </c>
      <c r="F13">
        <v>78.48</v>
      </c>
      <c r="G13">
        <v>4.1539999999999999</v>
      </c>
      <c r="H13">
        <v>65.768000000000001</v>
      </c>
      <c r="I13">
        <v>61.567999999999998</v>
      </c>
      <c r="J13">
        <v>0</v>
      </c>
      <c r="K13">
        <v>229.76400000000001</v>
      </c>
      <c r="L13">
        <v>0</v>
      </c>
      <c r="M13">
        <v>52.92</v>
      </c>
      <c r="N13">
        <v>0</v>
      </c>
      <c r="O13">
        <v>0.86799999999999999</v>
      </c>
      <c r="P13">
        <v>0</v>
      </c>
      <c r="Q13">
        <v>24.331</v>
      </c>
      <c r="R13">
        <v>36.700000000000003</v>
      </c>
      <c r="S13">
        <v>9.9</v>
      </c>
    </row>
    <row r="14" spans="1:21" x14ac:dyDescent="0.3">
      <c r="A14" t="s">
        <v>518</v>
      </c>
      <c r="B14">
        <v>146.01599999999999</v>
      </c>
      <c r="C14">
        <v>69.284000000000006</v>
      </c>
      <c r="D14">
        <v>46.308</v>
      </c>
      <c r="E14">
        <v>0.32200000000000001</v>
      </c>
      <c r="F14">
        <v>79.426000000000002</v>
      </c>
      <c r="G14">
        <v>3.7530000000000001</v>
      </c>
      <c r="H14">
        <v>64.942999999999998</v>
      </c>
      <c r="I14">
        <v>61.634</v>
      </c>
      <c r="J14">
        <v>2E-3</v>
      </c>
      <c r="K14">
        <v>229.91200000000001</v>
      </c>
      <c r="L14">
        <v>1E-3</v>
      </c>
      <c r="M14">
        <v>52.701999999999998</v>
      </c>
      <c r="N14">
        <v>0</v>
      </c>
      <c r="O14">
        <v>0.873</v>
      </c>
      <c r="P14">
        <v>0</v>
      </c>
      <c r="Q14">
        <v>22.634</v>
      </c>
      <c r="R14">
        <v>37.9</v>
      </c>
      <c r="S14">
        <v>9.9</v>
      </c>
    </row>
    <row r="15" spans="1:21" x14ac:dyDescent="0.3">
      <c r="A15" t="s">
        <v>519</v>
      </c>
      <c r="B15">
        <v>145.26400000000001</v>
      </c>
      <c r="C15">
        <v>69.186000000000007</v>
      </c>
      <c r="D15">
        <v>46.331000000000003</v>
      </c>
      <c r="E15">
        <v>0.374</v>
      </c>
      <c r="F15">
        <v>79.656000000000006</v>
      </c>
      <c r="G15">
        <v>4.0679999999999996</v>
      </c>
      <c r="H15">
        <v>64.994</v>
      </c>
      <c r="I15">
        <v>61.704000000000001</v>
      </c>
      <c r="J15">
        <v>2E-3</v>
      </c>
      <c r="K15">
        <v>229.66499999999999</v>
      </c>
      <c r="L15">
        <v>1E-3</v>
      </c>
      <c r="M15">
        <v>52.777999999999999</v>
      </c>
      <c r="N15">
        <v>0</v>
      </c>
      <c r="O15">
        <v>0.89100000000000001</v>
      </c>
      <c r="P15">
        <v>0</v>
      </c>
      <c r="Q15">
        <v>22.289000000000001</v>
      </c>
      <c r="R15">
        <v>38.200000000000003</v>
      </c>
      <c r="S15">
        <v>9.9</v>
      </c>
    </row>
    <row r="16" spans="1:21" x14ac:dyDescent="0.3">
      <c r="A16" t="s">
        <v>520</v>
      </c>
      <c r="B16">
        <v>145.571</v>
      </c>
      <c r="C16">
        <v>69.188999999999993</v>
      </c>
      <c r="D16">
        <v>46.293999999999997</v>
      </c>
      <c r="E16">
        <v>0.39200000000000002</v>
      </c>
      <c r="F16">
        <v>78.212999999999994</v>
      </c>
      <c r="G16">
        <v>4.2050000000000001</v>
      </c>
      <c r="H16">
        <v>66.027000000000001</v>
      </c>
      <c r="I16">
        <v>61.749000000000002</v>
      </c>
      <c r="J16">
        <v>2E-3</v>
      </c>
      <c r="K16">
        <v>229.994</v>
      </c>
      <c r="L16">
        <v>0</v>
      </c>
      <c r="M16">
        <v>52.895000000000003</v>
      </c>
      <c r="N16">
        <v>0</v>
      </c>
      <c r="O16">
        <v>0.84299999999999997</v>
      </c>
      <c r="P16">
        <v>0</v>
      </c>
      <c r="Q16">
        <v>24.199000000000002</v>
      </c>
      <c r="R16">
        <v>38</v>
      </c>
      <c r="S16">
        <v>9.9</v>
      </c>
    </row>
    <row r="17" spans="1:19" x14ac:dyDescent="0.3">
      <c r="A17" t="s">
        <v>521</v>
      </c>
      <c r="B17">
        <v>145.73599999999999</v>
      </c>
      <c r="C17">
        <v>69.254999999999995</v>
      </c>
      <c r="D17">
        <v>46.277999999999999</v>
      </c>
      <c r="E17">
        <v>0.36599999999999999</v>
      </c>
      <c r="F17">
        <v>78.45</v>
      </c>
      <c r="G17">
        <v>4.09</v>
      </c>
      <c r="H17">
        <v>67.153999999999996</v>
      </c>
      <c r="I17">
        <v>61.93</v>
      </c>
      <c r="J17">
        <v>1E-3</v>
      </c>
      <c r="K17">
        <v>229.74700000000001</v>
      </c>
      <c r="L17">
        <v>0</v>
      </c>
      <c r="M17">
        <v>53.161000000000001</v>
      </c>
      <c r="N17">
        <v>0</v>
      </c>
      <c r="O17">
        <v>0.88400000000000001</v>
      </c>
      <c r="P17">
        <v>0</v>
      </c>
      <c r="Q17">
        <v>26.416</v>
      </c>
      <c r="R17">
        <v>36.9</v>
      </c>
      <c r="S17">
        <v>9.9</v>
      </c>
    </row>
    <row r="18" spans="1:19" x14ac:dyDescent="0.3">
      <c r="A18" t="s">
        <v>522</v>
      </c>
      <c r="B18">
        <v>146.131</v>
      </c>
      <c r="C18">
        <v>69.176000000000002</v>
      </c>
      <c r="D18">
        <v>46.353999999999999</v>
      </c>
      <c r="E18">
        <v>0.32300000000000001</v>
      </c>
      <c r="F18">
        <v>78.519000000000005</v>
      </c>
      <c r="G18">
        <v>4.09</v>
      </c>
      <c r="H18">
        <v>67.361000000000004</v>
      </c>
      <c r="I18">
        <v>61.95</v>
      </c>
      <c r="J18">
        <v>1E-3</v>
      </c>
      <c r="K18">
        <v>229.977</v>
      </c>
      <c r="L18">
        <v>4.0000000000000001E-3</v>
      </c>
      <c r="M18">
        <v>53.170999999999999</v>
      </c>
      <c r="N18">
        <v>0</v>
      </c>
      <c r="O18">
        <v>0.86599999999999999</v>
      </c>
      <c r="P18">
        <v>0</v>
      </c>
      <c r="Q18">
        <v>27.427</v>
      </c>
      <c r="R18">
        <v>36.1</v>
      </c>
      <c r="S18">
        <v>9.9</v>
      </c>
    </row>
    <row r="19" spans="1:19" x14ac:dyDescent="0.3">
      <c r="A19" t="s">
        <v>523</v>
      </c>
      <c r="B19">
        <v>146.53</v>
      </c>
      <c r="C19">
        <v>69.168999999999997</v>
      </c>
      <c r="D19">
        <v>46.183</v>
      </c>
      <c r="E19">
        <v>0.28599999999999998</v>
      </c>
      <c r="F19">
        <v>79.734999999999999</v>
      </c>
      <c r="G19">
        <v>4.3159999999999998</v>
      </c>
      <c r="H19">
        <v>66.841999999999999</v>
      </c>
      <c r="I19">
        <v>62.040999999999997</v>
      </c>
      <c r="J19">
        <v>1E-3</v>
      </c>
      <c r="K19">
        <v>229.69800000000001</v>
      </c>
      <c r="L19">
        <v>0</v>
      </c>
      <c r="M19">
        <v>53.52</v>
      </c>
      <c r="N19">
        <v>1E-3</v>
      </c>
      <c r="O19">
        <v>0.85199999999999998</v>
      </c>
      <c r="P19">
        <v>0</v>
      </c>
      <c r="Q19">
        <v>26.538</v>
      </c>
      <c r="R19">
        <v>36.1</v>
      </c>
      <c r="S19">
        <v>9.9</v>
      </c>
    </row>
    <row r="20" spans="1:19" x14ac:dyDescent="0.3">
      <c r="A20" t="s">
        <v>524</v>
      </c>
      <c r="B20">
        <v>146.434</v>
      </c>
      <c r="C20">
        <v>69.173000000000002</v>
      </c>
      <c r="D20">
        <v>46.209000000000003</v>
      </c>
      <c r="E20">
        <v>0.27100000000000002</v>
      </c>
      <c r="F20">
        <v>79.242000000000004</v>
      </c>
      <c r="G20">
        <v>3.9289999999999998</v>
      </c>
      <c r="H20">
        <v>67.528000000000006</v>
      </c>
      <c r="I20">
        <v>62.024000000000001</v>
      </c>
      <c r="J20">
        <v>1E-3</v>
      </c>
      <c r="K20">
        <v>229.994</v>
      </c>
      <c r="L20">
        <v>0</v>
      </c>
      <c r="M20">
        <v>52.945999999999998</v>
      </c>
      <c r="N20">
        <v>0</v>
      </c>
      <c r="O20">
        <v>0.86399999999999999</v>
      </c>
      <c r="P20">
        <v>0</v>
      </c>
      <c r="Q20">
        <v>24.146999999999998</v>
      </c>
      <c r="R20">
        <v>36.799999999999997</v>
      </c>
      <c r="S20">
        <v>9.9</v>
      </c>
    </row>
    <row r="21" spans="1:19" x14ac:dyDescent="0.3">
      <c r="A21" t="s">
        <v>525</v>
      </c>
      <c r="B21">
        <v>145.97399999999999</v>
      </c>
      <c r="C21">
        <v>69.227999999999994</v>
      </c>
      <c r="D21">
        <v>46.262</v>
      </c>
      <c r="E21">
        <v>0.314</v>
      </c>
      <c r="F21">
        <v>78.266000000000005</v>
      </c>
      <c r="G21">
        <v>3.8220000000000001</v>
      </c>
      <c r="H21">
        <v>64.983999999999995</v>
      </c>
      <c r="I21">
        <v>61.625999999999998</v>
      </c>
      <c r="J21">
        <v>1E-3</v>
      </c>
      <c r="K21">
        <v>229.68199999999999</v>
      </c>
      <c r="L21">
        <v>0</v>
      </c>
      <c r="M21">
        <v>52.82</v>
      </c>
      <c r="N21">
        <v>0</v>
      </c>
      <c r="O21">
        <v>0.85499999999999998</v>
      </c>
      <c r="P21">
        <v>0</v>
      </c>
      <c r="Q21">
        <v>22.619</v>
      </c>
      <c r="R21">
        <v>37.9</v>
      </c>
      <c r="S21">
        <v>9.9</v>
      </c>
    </row>
    <row r="22" spans="1:19" x14ac:dyDescent="0.3">
      <c r="A22" t="s">
        <v>526</v>
      </c>
      <c r="B22">
        <v>145.268</v>
      </c>
      <c r="C22">
        <v>69.212000000000003</v>
      </c>
      <c r="D22">
        <v>46.469000000000001</v>
      </c>
      <c r="E22">
        <v>0.35799999999999998</v>
      </c>
      <c r="F22">
        <v>79.744</v>
      </c>
      <c r="G22">
        <v>4.1440000000000001</v>
      </c>
      <c r="H22">
        <v>64.759</v>
      </c>
      <c r="I22">
        <v>61.494</v>
      </c>
      <c r="J22">
        <v>2E-3</v>
      </c>
      <c r="K22">
        <v>229.977</v>
      </c>
      <c r="L22">
        <v>1E-3</v>
      </c>
      <c r="M22">
        <v>52.83</v>
      </c>
      <c r="N22">
        <v>0</v>
      </c>
      <c r="O22">
        <v>0.85599999999999998</v>
      </c>
      <c r="P22">
        <v>0</v>
      </c>
      <c r="Q22">
        <v>22.271999999999998</v>
      </c>
      <c r="R22">
        <v>38.1</v>
      </c>
      <c r="S22">
        <v>9.9</v>
      </c>
    </row>
    <row r="23" spans="1:19" x14ac:dyDescent="0.3">
      <c r="A23" t="s">
        <v>527</v>
      </c>
      <c r="B23">
        <v>145.40100000000001</v>
      </c>
      <c r="C23">
        <v>69.251000000000005</v>
      </c>
      <c r="D23">
        <v>46.423000000000002</v>
      </c>
      <c r="E23">
        <v>0.36499999999999999</v>
      </c>
      <c r="F23">
        <v>79.313999999999993</v>
      </c>
      <c r="G23">
        <v>4.3609999999999998</v>
      </c>
      <c r="H23">
        <v>66.090999999999994</v>
      </c>
      <c r="I23">
        <v>61.625999999999998</v>
      </c>
      <c r="J23">
        <v>1E-3</v>
      </c>
      <c r="K23">
        <v>229.583</v>
      </c>
      <c r="L23">
        <v>0</v>
      </c>
      <c r="M23">
        <v>52.856999999999999</v>
      </c>
      <c r="N23">
        <v>0</v>
      </c>
      <c r="O23">
        <v>0.87</v>
      </c>
      <c r="P23">
        <v>0</v>
      </c>
      <c r="Q23">
        <v>23.957000000000001</v>
      </c>
      <c r="R23">
        <v>37.9</v>
      </c>
      <c r="S23">
        <v>9.9</v>
      </c>
    </row>
    <row r="24" spans="1:19" x14ac:dyDescent="0.3">
      <c r="A24" t="s">
        <v>528</v>
      </c>
      <c r="B24">
        <v>145.60400000000001</v>
      </c>
      <c r="C24">
        <v>69.248000000000005</v>
      </c>
      <c r="D24">
        <v>46.4</v>
      </c>
      <c r="E24">
        <v>0.35699999999999998</v>
      </c>
      <c r="F24">
        <v>79.248000000000005</v>
      </c>
      <c r="G24">
        <v>4.18</v>
      </c>
      <c r="H24">
        <v>66.992999999999995</v>
      </c>
      <c r="I24">
        <v>61.679000000000002</v>
      </c>
      <c r="J24">
        <v>2E-3</v>
      </c>
      <c r="K24">
        <v>229.94399999999999</v>
      </c>
      <c r="L24">
        <v>1E-3</v>
      </c>
      <c r="M24">
        <v>53.07</v>
      </c>
      <c r="N24">
        <v>0</v>
      </c>
      <c r="O24">
        <v>0.86499999999999999</v>
      </c>
      <c r="P24">
        <v>0</v>
      </c>
      <c r="Q24">
        <v>26.227</v>
      </c>
      <c r="R24">
        <v>36.9</v>
      </c>
      <c r="S24">
        <v>9.9</v>
      </c>
    </row>
    <row r="25" spans="1:19" ht="15" thickBot="1" x14ac:dyDescent="0.35">
      <c r="A25" t="s">
        <v>529</v>
      </c>
      <c r="B25">
        <v>145.95500000000001</v>
      </c>
      <c r="C25">
        <v>69.296999999999997</v>
      </c>
      <c r="D25">
        <v>46.478000000000002</v>
      </c>
      <c r="E25">
        <v>0.308</v>
      </c>
      <c r="F25">
        <v>78.912999999999997</v>
      </c>
      <c r="G25">
        <v>3.8380000000000001</v>
      </c>
      <c r="H25">
        <v>67.638999999999996</v>
      </c>
      <c r="I25">
        <v>61.781999999999996</v>
      </c>
      <c r="J25">
        <v>1E-3</v>
      </c>
      <c r="K25">
        <v>229.56700000000001</v>
      </c>
      <c r="L25">
        <v>0</v>
      </c>
      <c r="M25">
        <v>53.161000000000001</v>
      </c>
      <c r="N25">
        <v>0</v>
      </c>
      <c r="O25">
        <v>0.85199999999999998</v>
      </c>
      <c r="P25">
        <v>0</v>
      </c>
      <c r="Q25">
        <v>27.347000000000001</v>
      </c>
      <c r="R25">
        <v>36.200000000000003</v>
      </c>
      <c r="S25">
        <v>9.9</v>
      </c>
    </row>
    <row r="26" spans="1:19" ht="15" thickBot="1" x14ac:dyDescent="0.35">
      <c r="A26" t="s">
        <v>30</v>
      </c>
      <c r="B26" s="1">
        <f t="shared" ref="B26:S26" si="0">AVERAGE(B6:B25)</f>
        <v>145.81869999999998</v>
      </c>
      <c r="C26" s="1">
        <f t="shared" si="0"/>
        <v>69.271200000000007</v>
      </c>
      <c r="D26" s="1">
        <f t="shared" si="0"/>
        <v>46.329599999999992</v>
      </c>
      <c r="E26" s="10">
        <f t="shared" si="0"/>
        <v>0.32894999999999996</v>
      </c>
      <c r="F26" s="1">
        <f t="shared" si="0"/>
        <v>78.995700000000014</v>
      </c>
      <c r="G26" s="1">
        <f t="shared" si="0"/>
        <v>4.0551500000000003</v>
      </c>
      <c r="H26" s="10">
        <f t="shared" si="0"/>
        <v>66.176099999999991</v>
      </c>
      <c r="I26" s="1">
        <f t="shared" si="0"/>
        <v>61.724649999999997</v>
      </c>
      <c r="J26" s="8">
        <f t="shared" si="0"/>
        <v>1.2000000000000003E-3</v>
      </c>
      <c r="K26" s="1">
        <f t="shared" si="0"/>
        <v>229.81389999999996</v>
      </c>
      <c r="L26" s="1">
        <f t="shared" si="0"/>
        <v>8.0500000000000016E-3</v>
      </c>
      <c r="M26" s="1">
        <f t="shared" si="0"/>
        <v>52.983050000000013</v>
      </c>
      <c r="N26" s="1">
        <f t="shared" si="0"/>
        <v>5.0000000000000002E-5</v>
      </c>
      <c r="O26" s="1">
        <f t="shared" si="0"/>
        <v>0.86660000000000004</v>
      </c>
      <c r="P26" s="1">
        <f t="shared" si="0"/>
        <v>0</v>
      </c>
      <c r="Q26" s="1">
        <f t="shared" si="0"/>
        <v>24.719299999999997</v>
      </c>
      <c r="R26" s="1">
        <f t="shared" si="0"/>
        <v>37.174999999999997</v>
      </c>
      <c r="S26" s="1">
        <f t="shared" si="0"/>
        <v>9.9000000000000021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D3B0-ECEC-4162-B5D8-7AB3E0B522CA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0.63871527777777781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1.8444129393666735</v>
      </c>
      <c r="M2" s="8">
        <f>100*(R26/(R26+Q26))</f>
        <v>59.96277351456871</v>
      </c>
      <c r="O2" s="9">
        <f>100*((E26*C2)/((E26*C2)+(K2*E2)))</f>
        <v>14.999724894518593</v>
      </c>
      <c r="Q2" s="10">
        <f>100*J26*(1/(((C2/3.6)*E26)+((E2/3.6)*K2)))</f>
        <v>6.6861874688906084</v>
      </c>
      <c r="S2" s="6">
        <v>3.54</v>
      </c>
      <c r="U2" s="10">
        <f>100*((((G26*0.001*60)*(C26-D26)*(S2/3.6)))/(((C2/3.6)*E26)+((E2/3.6)*K2)))</f>
        <v>20.76477303693547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530</v>
      </c>
      <c r="B6">
        <v>173.85900000000001</v>
      </c>
      <c r="C6">
        <v>69.763999999999996</v>
      </c>
      <c r="D6">
        <v>48.616999999999997</v>
      </c>
      <c r="E6">
        <v>0.28299999999999997</v>
      </c>
      <c r="F6">
        <v>80.203999999999994</v>
      </c>
      <c r="G6">
        <v>5.1289999999999996</v>
      </c>
      <c r="H6">
        <v>71.53</v>
      </c>
      <c r="I6">
        <v>62.213000000000001</v>
      </c>
      <c r="J6">
        <v>2.0150000000000001</v>
      </c>
      <c r="K6">
        <v>230.142</v>
      </c>
      <c r="L6">
        <v>3.0129999999999999</v>
      </c>
      <c r="M6">
        <v>52.744999999999997</v>
      </c>
      <c r="N6">
        <v>2.9540000000000002</v>
      </c>
      <c r="O6">
        <v>0.89200000000000002</v>
      </c>
      <c r="P6">
        <v>0</v>
      </c>
      <c r="Q6">
        <v>25.262</v>
      </c>
      <c r="R6">
        <v>39.6</v>
      </c>
      <c r="S6">
        <v>12.3</v>
      </c>
    </row>
    <row r="7" spans="1:21" x14ac:dyDescent="0.3">
      <c r="A7" t="s">
        <v>531</v>
      </c>
      <c r="B7">
        <v>172.86</v>
      </c>
      <c r="C7">
        <v>69.751000000000005</v>
      </c>
      <c r="D7">
        <v>48.692999999999998</v>
      </c>
      <c r="E7">
        <v>0.36</v>
      </c>
      <c r="F7">
        <v>79.510999999999996</v>
      </c>
      <c r="G7">
        <v>5.1790000000000003</v>
      </c>
      <c r="H7">
        <v>70.322999999999993</v>
      </c>
      <c r="I7">
        <v>62.164000000000001</v>
      </c>
      <c r="J7">
        <v>2.016</v>
      </c>
      <c r="K7">
        <v>230.059</v>
      </c>
      <c r="L7">
        <v>3.0070000000000001</v>
      </c>
      <c r="M7">
        <v>52.625</v>
      </c>
      <c r="N7">
        <v>2.9540000000000002</v>
      </c>
      <c r="O7">
        <v>0.878</v>
      </c>
      <c r="P7">
        <v>0</v>
      </c>
      <c r="Q7">
        <v>23.5</v>
      </c>
      <c r="R7">
        <v>41.2</v>
      </c>
      <c r="S7">
        <v>12.3</v>
      </c>
    </row>
    <row r="8" spans="1:21" x14ac:dyDescent="0.3">
      <c r="A8" t="s">
        <v>532</v>
      </c>
      <c r="B8">
        <v>171.92599999999999</v>
      </c>
      <c r="C8">
        <v>69.741</v>
      </c>
      <c r="D8">
        <v>48.722000000000001</v>
      </c>
      <c r="E8">
        <v>0.42099999999999999</v>
      </c>
      <c r="F8">
        <v>80.450999999999993</v>
      </c>
      <c r="G8">
        <v>5.08</v>
      </c>
      <c r="H8">
        <v>70.150999999999996</v>
      </c>
      <c r="I8">
        <v>62.283000000000001</v>
      </c>
      <c r="J8">
        <v>2.0139999999999998</v>
      </c>
      <c r="K8">
        <v>229.928</v>
      </c>
      <c r="L8">
        <v>2.9689999999999999</v>
      </c>
      <c r="M8">
        <v>52.66</v>
      </c>
      <c r="N8">
        <v>2.9510000000000001</v>
      </c>
      <c r="O8">
        <v>0.88</v>
      </c>
      <c r="P8">
        <v>0</v>
      </c>
      <c r="Q8">
        <v>24.047000000000001</v>
      </c>
      <c r="R8">
        <v>41.8</v>
      </c>
      <c r="S8">
        <v>12.3</v>
      </c>
    </row>
    <row r="9" spans="1:21" x14ac:dyDescent="0.3">
      <c r="A9" t="s">
        <v>533</v>
      </c>
      <c r="B9">
        <v>172.15799999999999</v>
      </c>
      <c r="C9">
        <v>69.774000000000001</v>
      </c>
      <c r="D9">
        <v>48.741999999999997</v>
      </c>
      <c r="E9">
        <v>0.47799999999999998</v>
      </c>
      <c r="F9">
        <v>79.37</v>
      </c>
      <c r="G9">
        <v>5.1589999999999998</v>
      </c>
      <c r="H9">
        <v>71.69</v>
      </c>
      <c r="I9">
        <v>62.372999999999998</v>
      </c>
      <c r="J9">
        <v>2.0179999999999998</v>
      </c>
      <c r="K9">
        <v>230.02699999999999</v>
      </c>
      <c r="L9">
        <v>2.899</v>
      </c>
      <c r="M9">
        <v>52.67</v>
      </c>
      <c r="N9">
        <v>2.952</v>
      </c>
      <c r="O9">
        <v>0.90400000000000003</v>
      </c>
      <c r="P9">
        <v>0</v>
      </c>
      <c r="Q9">
        <v>27.681999999999999</v>
      </c>
      <c r="R9">
        <v>41.5</v>
      </c>
      <c r="S9">
        <v>12.3</v>
      </c>
    </row>
    <row r="10" spans="1:21" x14ac:dyDescent="0.3">
      <c r="A10" t="s">
        <v>534</v>
      </c>
      <c r="B10">
        <v>172.554</v>
      </c>
      <c r="C10">
        <v>69.838999999999999</v>
      </c>
      <c r="D10">
        <v>48.954999999999998</v>
      </c>
      <c r="E10">
        <v>0.434</v>
      </c>
      <c r="F10">
        <v>79.694999999999993</v>
      </c>
      <c r="G10">
        <v>5.3319999999999999</v>
      </c>
      <c r="H10">
        <v>72.813000000000002</v>
      </c>
      <c r="I10">
        <v>61.917000000000002</v>
      </c>
      <c r="J10">
        <v>2.0139999999999998</v>
      </c>
      <c r="K10">
        <v>229.96100000000001</v>
      </c>
      <c r="L10">
        <v>2.9009999999999998</v>
      </c>
      <c r="M10">
        <v>53.042999999999999</v>
      </c>
      <c r="N10">
        <v>2.956</v>
      </c>
      <c r="O10">
        <v>0.89200000000000002</v>
      </c>
      <c r="P10">
        <v>0</v>
      </c>
      <c r="Q10">
        <v>29.861000000000001</v>
      </c>
      <c r="R10">
        <v>39.700000000000003</v>
      </c>
      <c r="S10">
        <v>12.3</v>
      </c>
    </row>
    <row r="11" spans="1:21" x14ac:dyDescent="0.3">
      <c r="A11" t="s">
        <v>535</v>
      </c>
      <c r="B11">
        <v>173.42699999999999</v>
      </c>
      <c r="C11">
        <v>69.843000000000004</v>
      </c>
      <c r="D11">
        <v>49.182000000000002</v>
      </c>
      <c r="E11">
        <v>0.33</v>
      </c>
      <c r="F11">
        <v>79.56</v>
      </c>
      <c r="G11">
        <v>4.9160000000000004</v>
      </c>
      <c r="H11">
        <v>73.316000000000003</v>
      </c>
      <c r="I11">
        <v>62.283000000000001</v>
      </c>
      <c r="J11">
        <v>2.016</v>
      </c>
      <c r="K11">
        <v>229.82900000000001</v>
      </c>
      <c r="L11">
        <v>2.9020000000000001</v>
      </c>
      <c r="M11">
        <v>53.151000000000003</v>
      </c>
      <c r="N11">
        <v>2.95</v>
      </c>
      <c r="O11">
        <v>0.878</v>
      </c>
      <c r="P11">
        <v>0</v>
      </c>
      <c r="Q11">
        <v>30.463999999999999</v>
      </c>
      <c r="R11">
        <v>38.799999999999997</v>
      </c>
      <c r="S11">
        <v>12.3</v>
      </c>
    </row>
    <row r="12" spans="1:21" x14ac:dyDescent="0.3">
      <c r="A12" t="s">
        <v>536</v>
      </c>
      <c r="B12">
        <v>173.80600000000001</v>
      </c>
      <c r="C12">
        <v>69.832999999999998</v>
      </c>
      <c r="D12">
        <v>49.280999999999999</v>
      </c>
      <c r="E12">
        <v>0.28299999999999997</v>
      </c>
      <c r="F12">
        <v>79.593000000000004</v>
      </c>
      <c r="G12">
        <v>5.3730000000000002</v>
      </c>
      <c r="H12">
        <v>72.281999999999996</v>
      </c>
      <c r="I12">
        <v>61.807000000000002</v>
      </c>
      <c r="J12">
        <v>2.0129999999999999</v>
      </c>
      <c r="K12">
        <v>229.846</v>
      </c>
      <c r="L12">
        <v>2.8929999999999998</v>
      </c>
      <c r="M12">
        <v>53.034999999999997</v>
      </c>
      <c r="N12">
        <v>2.9460000000000002</v>
      </c>
      <c r="O12">
        <v>0.86199999999999999</v>
      </c>
      <c r="P12">
        <v>0</v>
      </c>
      <c r="Q12">
        <v>26.661000000000001</v>
      </c>
      <c r="R12">
        <v>39</v>
      </c>
      <c r="S12">
        <v>12.3</v>
      </c>
    </row>
    <row r="13" spans="1:21" x14ac:dyDescent="0.3">
      <c r="A13" t="s">
        <v>537</v>
      </c>
      <c r="B13">
        <v>173.387</v>
      </c>
      <c r="C13">
        <v>69.872</v>
      </c>
      <c r="D13">
        <v>49.261000000000003</v>
      </c>
      <c r="E13">
        <v>0.32200000000000001</v>
      </c>
      <c r="F13">
        <v>79.396000000000001</v>
      </c>
      <c r="G13">
        <v>4.9489999999999998</v>
      </c>
      <c r="H13">
        <v>70.671000000000006</v>
      </c>
      <c r="I13">
        <v>62.258000000000003</v>
      </c>
      <c r="J13">
        <v>2.0179999999999998</v>
      </c>
      <c r="K13">
        <v>230.20699999999999</v>
      </c>
      <c r="L13">
        <v>2.9</v>
      </c>
      <c r="M13">
        <v>52.738999999999997</v>
      </c>
      <c r="N13">
        <v>2.9540000000000002</v>
      </c>
      <c r="O13">
        <v>0.89100000000000001</v>
      </c>
      <c r="P13">
        <v>0</v>
      </c>
      <c r="Q13">
        <v>24.199000000000002</v>
      </c>
      <c r="R13">
        <v>40.6</v>
      </c>
      <c r="S13">
        <v>12.3</v>
      </c>
    </row>
    <row r="14" spans="1:21" x14ac:dyDescent="0.3">
      <c r="A14" t="s">
        <v>538</v>
      </c>
      <c r="B14">
        <v>172.51400000000001</v>
      </c>
      <c r="C14">
        <v>69.787000000000006</v>
      </c>
      <c r="D14">
        <v>49.207999999999998</v>
      </c>
      <c r="E14">
        <v>0.42</v>
      </c>
      <c r="F14">
        <v>79.694999999999993</v>
      </c>
      <c r="G14">
        <v>5.0519999999999996</v>
      </c>
      <c r="H14">
        <v>69.783000000000001</v>
      </c>
      <c r="I14">
        <v>62.008000000000003</v>
      </c>
      <c r="J14">
        <v>2.0129999999999999</v>
      </c>
      <c r="K14">
        <v>229.91200000000001</v>
      </c>
      <c r="L14">
        <v>2.891</v>
      </c>
      <c r="M14">
        <v>52.609000000000002</v>
      </c>
      <c r="N14">
        <v>2.952</v>
      </c>
      <c r="O14">
        <v>0.88100000000000001</v>
      </c>
      <c r="P14">
        <v>0</v>
      </c>
      <c r="Q14">
        <v>22.818999999999999</v>
      </c>
      <c r="R14">
        <v>41.7</v>
      </c>
      <c r="S14">
        <v>12.3</v>
      </c>
    </row>
    <row r="15" spans="1:21" x14ac:dyDescent="0.3">
      <c r="A15" t="s">
        <v>539</v>
      </c>
      <c r="B15">
        <v>172.334</v>
      </c>
      <c r="C15">
        <v>69.771000000000001</v>
      </c>
      <c r="D15">
        <v>49.207999999999998</v>
      </c>
      <c r="E15">
        <v>0.46600000000000003</v>
      </c>
      <c r="F15">
        <v>78.948999999999998</v>
      </c>
      <c r="G15">
        <v>5.1230000000000002</v>
      </c>
      <c r="H15">
        <v>70.841999999999999</v>
      </c>
      <c r="I15">
        <v>62.085999999999999</v>
      </c>
      <c r="J15">
        <v>2.0190000000000001</v>
      </c>
      <c r="K15">
        <v>230.25700000000001</v>
      </c>
      <c r="L15">
        <v>2.9020000000000001</v>
      </c>
      <c r="M15">
        <v>52.686</v>
      </c>
      <c r="N15">
        <v>2.9470000000000001</v>
      </c>
      <c r="O15">
        <v>0.86499999999999999</v>
      </c>
      <c r="P15">
        <v>0</v>
      </c>
      <c r="Q15">
        <v>26.425999999999998</v>
      </c>
      <c r="R15">
        <v>41.8</v>
      </c>
      <c r="S15">
        <v>12.3</v>
      </c>
    </row>
    <row r="16" spans="1:21" x14ac:dyDescent="0.3">
      <c r="A16" t="s">
        <v>540</v>
      </c>
      <c r="B16">
        <v>172.571</v>
      </c>
      <c r="C16">
        <v>69.822999999999993</v>
      </c>
      <c r="D16">
        <v>49.283999999999999</v>
      </c>
      <c r="E16">
        <v>0.441</v>
      </c>
      <c r="F16">
        <v>80.024000000000001</v>
      </c>
      <c r="G16">
        <v>5.2709999999999999</v>
      </c>
      <c r="H16">
        <v>72.617999999999995</v>
      </c>
      <c r="I16">
        <v>62.101999999999997</v>
      </c>
      <c r="J16">
        <v>2.0139999999999998</v>
      </c>
      <c r="K16">
        <v>229.82900000000001</v>
      </c>
      <c r="L16">
        <v>2.8929999999999998</v>
      </c>
      <c r="M16">
        <v>52.795999999999999</v>
      </c>
      <c r="N16">
        <v>2.952</v>
      </c>
      <c r="O16">
        <v>0.878</v>
      </c>
      <c r="P16">
        <v>0</v>
      </c>
      <c r="Q16">
        <v>29.507000000000001</v>
      </c>
      <c r="R16">
        <v>40.6</v>
      </c>
      <c r="S16">
        <v>12.3</v>
      </c>
    </row>
    <row r="17" spans="1:19" x14ac:dyDescent="0.3">
      <c r="A17" t="s">
        <v>541</v>
      </c>
      <c r="B17">
        <v>172.75399999999999</v>
      </c>
      <c r="C17">
        <v>69.721000000000004</v>
      </c>
      <c r="D17">
        <v>49.457999999999998</v>
      </c>
      <c r="E17">
        <v>0.38300000000000001</v>
      </c>
      <c r="F17">
        <v>79.873000000000005</v>
      </c>
      <c r="G17">
        <v>5.024</v>
      </c>
      <c r="H17">
        <v>73.370999999999995</v>
      </c>
      <c r="I17">
        <v>62.134999999999998</v>
      </c>
      <c r="J17">
        <v>2.0179999999999998</v>
      </c>
      <c r="K17">
        <v>230.17400000000001</v>
      </c>
      <c r="L17">
        <v>2.78</v>
      </c>
      <c r="M17">
        <v>53.119</v>
      </c>
      <c r="N17">
        <v>2.9540000000000002</v>
      </c>
      <c r="O17">
        <v>0.871</v>
      </c>
      <c r="P17">
        <v>0</v>
      </c>
      <c r="Q17">
        <v>31.393000000000001</v>
      </c>
      <c r="R17">
        <v>39</v>
      </c>
      <c r="S17">
        <v>12.3</v>
      </c>
    </row>
    <row r="18" spans="1:19" x14ac:dyDescent="0.3">
      <c r="A18" t="s">
        <v>542</v>
      </c>
      <c r="B18">
        <v>173.69800000000001</v>
      </c>
      <c r="C18">
        <v>69.741</v>
      </c>
      <c r="D18">
        <v>49.438000000000002</v>
      </c>
      <c r="E18">
        <v>0.30299999999999999</v>
      </c>
      <c r="F18">
        <v>79.546999999999997</v>
      </c>
      <c r="G18">
        <v>5.0490000000000004</v>
      </c>
      <c r="H18">
        <v>73.206999999999994</v>
      </c>
      <c r="I18">
        <v>62.23</v>
      </c>
      <c r="J18">
        <v>2.0150000000000001</v>
      </c>
      <c r="K18">
        <v>229.78</v>
      </c>
      <c r="L18">
        <v>2.7829999999999999</v>
      </c>
      <c r="M18">
        <v>53.091999999999999</v>
      </c>
      <c r="N18">
        <v>2.952</v>
      </c>
      <c r="O18">
        <v>0.88400000000000001</v>
      </c>
      <c r="P18">
        <v>0</v>
      </c>
      <c r="Q18">
        <v>28.079000000000001</v>
      </c>
      <c r="R18">
        <v>38.799999999999997</v>
      </c>
      <c r="S18">
        <v>12.3</v>
      </c>
    </row>
    <row r="19" spans="1:19" x14ac:dyDescent="0.3">
      <c r="A19" t="s">
        <v>543</v>
      </c>
      <c r="B19">
        <v>173.87</v>
      </c>
      <c r="C19">
        <v>69.774000000000001</v>
      </c>
      <c r="D19">
        <v>49.451000000000001</v>
      </c>
      <c r="E19">
        <v>0.30099999999999999</v>
      </c>
      <c r="F19">
        <v>80.016999999999996</v>
      </c>
      <c r="G19">
        <v>4.9539999999999997</v>
      </c>
      <c r="H19">
        <v>71.463999999999999</v>
      </c>
      <c r="I19">
        <v>62.23</v>
      </c>
      <c r="J19">
        <v>2.0190000000000001</v>
      </c>
      <c r="K19">
        <v>230.15799999999999</v>
      </c>
      <c r="L19">
        <v>2.8420000000000001</v>
      </c>
      <c r="M19">
        <v>52.783999999999999</v>
      </c>
      <c r="N19">
        <v>2.948</v>
      </c>
      <c r="O19">
        <v>0.88900000000000001</v>
      </c>
      <c r="P19">
        <v>0</v>
      </c>
      <c r="Q19">
        <v>25.001999999999999</v>
      </c>
      <c r="R19">
        <v>39.9</v>
      </c>
      <c r="S19">
        <v>12.3</v>
      </c>
    </row>
    <row r="20" spans="1:19" x14ac:dyDescent="0.3">
      <c r="A20" t="s">
        <v>544</v>
      </c>
      <c r="B20">
        <v>173.06200000000001</v>
      </c>
      <c r="C20">
        <v>69.819999999999993</v>
      </c>
      <c r="D20">
        <v>49.566000000000003</v>
      </c>
      <c r="E20">
        <v>0.36799999999999999</v>
      </c>
      <c r="F20">
        <v>79.573999999999998</v>
      </c>
      <c r="G20">
        <v>5.4880000000000004</v>
      </c>
      <c r="H20">
        <v>70.400999999999996</v>
      </c>
      <c r="I20">
        <v>62.402000000000001</v>
      </c>
      <c r="J20">
        <v>2.0150000000000001</v>
      </c>
      <c r="K20">
        <v>229.81299999999999</v>
      </c>
      <c r="L20">
        <v>2.7970000000000002</v>
      </c>
      <c r="M20">
        <v>52.698</v>
      </c>
      <c r="N20">
        <v>2.9409999999999998</v>
      </c>
      <c r="O20">
        <v>0.86299999999999999</v>
      </c>
      <c r="P20">
        <v>0</v>
      </c>
      <c r="Q20">
        <v>23.359000000000002</v>
      </c>
      <c r="R20">
        <v>41.4</v>
      </c>
      <c r="S20">
        <v>12.3</v>
      </c>
    </row>
    <row r="21" spans="1:19" x14ac:dyDescent="0.3">
      <c r="A21" t="s">
        <v>545</v>
      </c>
      <c r="B21">
        <v>172.75800000000001</v>
      </c>
      <c r="C21">
        <v>69.83</v>
      </c>
      <c r="D21">
        <v>49.664999999999999</v>
      </c>
      <c r="E21">
        <v>0.45300000000000001</v>
      </c>
      <c r="F21">
        <v>79.337000000000003</v>
      </c>
      <c r="G21">
        <v>5.45</v>
      </c>
      <c r="H21">
        <v>70.337000000000003</v>
      </c>
      <c r="I21">
        <v>62.040999999999997</v>
      </c>
      <c r="J21">
        <v>2.0169999999999999</v>
      </c>
      <c r="K21">
        <v>230.24</v>
      </c>
      <c r="L21">
        <v>2.8050000000000002</v>
      </c>
      <c r="M21">
        <v>52.493000000000002</v>
      </c>
      <c r="N21">
        <v>2.9540000000000002</v>
      </c>
      <c r="O21">
        <v>0.89600000000000002</v>
      </c>
      <c r="P21">
        <v>0</v>
      </c>
      <c r="Q21">
        <v>24.766999999999999</v>
      </c>
      <c r="R21">
        <v>41.8</v>
      </c>
      <c r="S21">
        <v>12.3</v>
      </c>
    </row>
    <row r="22" spans="1:19" x14ac:dyDescent="0.3">
      <c r="A22" t="s">
        <v>546</v>
      </c>
      <c r="B22">
        <v>172.37299999999999</v>
      </c>
      <c r="C22">
        <v>69.843000000000004</v>
      </c>
      <c r="D22">
        <v>49.726999999999997</v>
      </c>
      <c r="E22">
        <v>0.52</v>
      </c>
      <c r="F22">
        <v>79.224999999999994</v>
      </c>
      <c r="G22">
        <v>5.2990000000000004</v>
      </c>
      <c r="H22">
        <v>72.063000000000002</v>
      </c>
      <c r="I22">
        <v>62.012</v>
      </c>
      <c r="J22">
        <v>2.0169999999999999</v>
      </c>
      <c r="K22">
        <v>229.76400000000001</v>
      </c>
      <c r="L22">
        <v>2.8010000000000002</v>
      </c>
      <c r="M22">
        <v>52.741</v>
      </c>
      <c r="N22">
        <v>2.9470000000000001</v>
      </c>
      <c r="O22">
        <v>0.84499999999999997</v>
      </c>
      <c r="P22">
        <v>0</v>
      </c>
      <c r="Q22">
        <v>28.58</v>
      </c>
      <c r="R22">
        <v>41.3</v>
      </c>
      <c r="S22">
        <v>12.3</v>
      </c>
    </row>
    <row r="23" spans="1:19" x14ac:dyDescent="0.3">
      <c r="A23" t="s">
        <v>547</v>
      </c>
      <c r="B23">
        <v>173.227</v>
      </c>
      <c r="C23">
        <v>69.777000000000001</v>
      </c>
      <c r="D23">
        <v>49.695</v>
      </c>
      <c r="E23">
        <v>0.44500000000000001</v>
      </c>
      <c r="F23">
        <v>79.025000000000006</v>
      </c>
      <c r="G23">
        <v>5.0880000000000001</v>
      </c>
      <c r="H23">
        <v>72.912000000000006</v>
      </c>
      <c r="I23">
        <v>61.945999999999998</v>
      </c>
      <c r="J23">
        <v>2.0190000000000001</v>
      </c>
      <c r="K23">
        <v>230.10900000000001</v>
      </c>
      <c r="L23">
        <v>2.831</v>
      </c>
      <c r="M23">
        <v>53.055999999999997</v>
      </c>
      <c r="N23">
        <v>2.948</v>
      </c>
      <c r="O23">
        <v>0.876</v>
      </c>
      <c r="P23">
        <v>0</v>
      </c>
      <c r="Q23">
        <v>30.465</v>
      </c>
      <c r="R23">
        <v>39.299999999999997</v>
      </c>
      <c r="S23">
        <v>12.3</v>
      </c>
    </row>
    <row r="24" spans="1:19" x14ac:dyDescent="0.3">
      <c r="A24" t="s">
        <v>548</v>
      </c>
      <c r="B24">
        <v>173.89</v>
      </c>
      <c r="C24">
        <v>69.787000000000006</v>
      </c>
      <c r="D24">
        <v>49.76</v>
      </c>
      <c r="E24">
        <v>0.32600000000000001</v>
      </c>
      <c r="F24">
        <v>80.257000000000005</v>
      </c>
      <c r="G24">
        <v>5.1769999999999996</v>
      </c>
      <c r="H24">
        <v>73.474000000000004</v>
      </c>
      <c r="I24">
        <v>61.95</v>
      </c>
      <c r="J24">
        <v>2.0169999999999999</v>
      </c>
      <c r="K24">
        <v>229.78</v>
      </c>
      <c r="L24">
        <v>2.8980000000000001</v>
      </c>
      <c r="M24">
        <v>53.186</v>
      </c>
      <c r="N24">
        <v>2.948</v>
      </c>
      <c r="O24">
        <v>0.90200000000000002</v>
      </c>
      <c r="P24">
        <v>0</v>
      </c>
      <c r="Q24">
        <v>29.713999999999999</v>
      </c>
      <c r="R24">
        <v>38.700000000000003</v>
      </c>
      <c r="S24">
        <v>12.3</v>
      </c>
    </row>
    <row r="25" spans="1:19" ht="15" thickBot="1" x14ac:dyDescent="0.35">
      <c r="A25" t="s">
        <v>549</v>
      </c>
      <c r="B25">
        <v>174.381</v>
      </c>
      <c r="C25">
        <v>69.777000000000001</v>
      </c>
      <c r="D25">
        <v>49.685000000000002</v>
      </c>
      <c r="E25">
        <v>0.28999999999999998</v>
      </c>
      <c r="F25">
        <v>79.323999999999998</v>
      </c>
      <c r="G25">
        <v>5.3819999999999997</v>
      </c>
      <c r="H25">
        <v>72.186000000000007</v>
      </c>
      <c r="I25">
        <v>61.970999999999997</v>
      </c>
      <c r="J25">
        <v>2.0179999999999998</v>
      </c>
      <c r="K25">
        <v>230.10900000000001</v>
      </c>
      <c r="L25">
        <v>2.899</v>
      </c>
      <c r="M25">
        <v>52.893000000000001</v>
      </c>
      <c r="N25">
        <v>2.9510000000000001</v>
      </c>
      <c r="O25">
        <v>0.89500000000000002</v>
      </c>
      <c r="P25">
        <v>0</v>
      </c>
      <c r="Q25">
        <v>26.18</v>
      </c>
      <c r="R25">
        <v>39.200000000000003</v>
      </c>
      <c r="S25">
        <v>12.3</v>
      </c>
    </row>
    <row r="26" spans="1:19" ht="15" thickBot="1" x14ac:dyDescent="0.35">
      <c r="A26" t="s">
        <v>30</v>
      </c>
      <c r="B26" s="1">
        <f t="shared" ref="B26:S26" si="0">AVERAGE(B6:B25)</f>
        <v>173.07044999999997</v>
      </c>
      <c r="C26" s="1">
        <f t="shared" si="0"/>
        <v>69.793399999999991</v>
      </c>
      <c r="D26" s="1">
        <f t="shared" si="0"/>
        <v>49.279899999999998</v>
      </c>
      <c r="E26" s="10">
        <f t="shared" si="0"/>
        <v>0.38135000000000002</v>
      </c>
      <c r="F26" s="1">
        <f t="shared" si="0"/>
        <v>79.631350000000012</v>
      </c>
      <c r="G26" s="1">
        <f t="shared" si="0"/>
        <v>5.1736999999999993</v>
      </c>
      <c r="H26" s="10">
        <f t="shared" si="0"/>
        <v>71.771699999999996</v>
      </c>
      <c r="I26" s="1">
        <f t="shared" si="0"/>
        <v>62.120550000000001</v>
      </c>
      <c r="J26" s="8">
        <f t="shared" si="0"/>
        <v>2.0162500000000003</v>
      </c>
      <c r="K26" s="1">
        <f t="shared" si="0"/>
        <v>229.99620000000004</v>
      </c>
      <c r="L26" s="1">
        <f t="shared" si="0"/>
        <v>2.8803000000000005</v>
      </c>
      <c r="M26" s="1">
        <f t="shared" si="0"/>
        <v>52.84105000000001</v>
      </c>
      <c r="N26" s="1">
        <f t="shared" si="0"/>
        <v>2.9505500000000007</v>
      </c>
      <c r="O26" s="1">
        <f t="shared" si="0"/>
        <v>0.88109999999999999</v>
      </c>
      <c r="P26" s="1">
        <f t="shared" si="0"/>
        <v>0</v>
      </c>
      <c r="Q26" s="1">
        <f t="shared" si="0"/>
        <v>26.898350000000001</v>
      </c>
      <c r="R26" s="1">
        <f t="shared" si="0"/>
        <v>40.284999999999997</v>
      </c>
      <c r="S26" s="1">
        <f t="shared" si="0"/>
        <v>12.300000000000004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385B-E72F-4B64-82A6-C5E339AD95A3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0.64329861111111108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2.0652654871092788</v>
      </c>
      <c r="M2" s="8">
        <f>100*(R26/(R26+Q26))</f>
        <v>59.988706766441148</v>
      </c>
      <c r="O2" s="9">
        <f>100*((E26*C2)/((E26*C2)+(K2*E2)))</f>
        <v>14.503790176096453</v>
      </c>
      <c r="Q2" s="10">
        <f>100*J26*(1/(((C2/3.6)*E26)+((E2/3.6)*K2)))</f>
        <v>12.404216500837299</v>
      </c>
      <c r="S2" s="6">
        <v>3.54</v>
      </c>
      <c r="U2" s="10">
        <f>100*((((G26*0.001*60)*(C26-D26)*(S2/3.6)))/(((C2/3.6)*E26)+((E2/3.6)*K2)))</f>
        <v>24.109304876566753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550</v>
      </c>
      <c r="B6">
        <v>210.095</v>
      </c>
      <c r="C6">
        <v>70.489999999999995</v>
      </c>
      <c r="D6">
        <v>51.886000000000003</v>
      </c>
      <c r="E6">
        <v>0.38100000000000001</v>
      </c>
      <c r="F6">
        <v>79.891999999999996</v>
      </c>
      <c r="G6">
        <v>7.2370000000000001</v>
      </c>
      <c r="H6">
        <v>80.099999999999994</v>
      </c>
      <c r="I6">
        <v>61.56</v>
      </c>
      <c r="J6">
        <v>4.1609999999999996</v>
      </c>
      <c r="K6">
        <v>229.87899999999999</v>
      </c>
      <c r="L6">
        <v>6.0380000000000003</v>
      </c>
      <c r="M6">
        <v>52.67</v>
      </c>
      <c r="N6">
        <v>5.9770000000000003</v>
      </c>
      <c r="O6">
        <v>0.90800000000000003</v>
      </c>
      <c r="P6">
        <v>0</v>
      </c>
      <c r="Q6">
        <v>30.218</v>
      </c>
      <c r="R6">
        <v>45.5</v>
      </c>
      <c r="S6">
        <v>5.44</v>
      </c>
    </row>
    <row r="7" spans="1:21" x14ac:dyDescent="0.3">
      <c r="A7" t="s">
        <v>551</v>
      </c>
      <c r="B7">
        <v>209.749</v>
      </c>
      <c r="C7">
        <v>70.47</v>
      </c>
      <c r="D7">
        <v>51.965000000000003</v>
      </c>
      <c r="E7">
        <v>0.41899999999999998</v>
      </c>
      <c r="F7">
        <v>80.055999999999997</v>
      </c>
      <c r="G7">
        <v>7.83</v>
      </c>
      <c r="H7">
        <v>80.311000000000007</v>
      </c>
      <c r="I7">
        <v>61.79</v>
      </c>
      <c r="J7">
        <v>4.1689999999999996</v>
      </c>
      <c r="K7">
        <v>230.24</v>
      </c>
      <c r="L7">
        <v>6.0519999999999996</v>
      </c>
      <c r="M7">
        <v>52.658000000000001</v>
      </c>
      <c r="N7">
        <v>5.9740000000000002</v>
      </c>
      <c r="O7">
        <v>0.88700000000000001</v>
      </c>
      <c r="P7">
        <v>0</v>
      </c>
      <c r="Q7">
        <v>30.277999999999999</v>
      </c>
      <c r="R7">
        <v>45.5</v>
      </c>
      <c r="S7">
        <v>5.44</v>
      </c>
    </row>
    <row r="8" spans="1:21" x14ac:dyDescent="0.3">
      <c r="A8" t="s">
        <v>552</v>
      </c>
      <c r="B8">
        <v>209.54300000000001</v>
      </c>
      <c r="C8">
        <v>70.489999999999995</v>
      </c>
      <c r="D8">
        <v>52.08</v>
      </c>
      <c r="E8">
        <v>0.39300000000000002</v>
      </c>
      <c r="F8">
        <v>78.177000000000007</v>
      </c>
      <c r="G8">
        <v>7.202</v>
      </c>
      <c r="H8">
        <v>80.286000000000001</v>
      </c>
      <c r="I8">
        <v>61.756999999999998</v>
      </c>
      <c r="J8">
        <v>4.1609999999999996</v>
      </c>
      <c r="K8">
        <v>229.82900000000001</v>
      </c>
      <c r="L8">
        <v>6.0350000000000001</v>
      </c>
      <c r="M8">
        <v>52.755000000000003</v>
      </c>
      <c r="N8">
        <v>5.9770000000000003</v>
      </c>
      <c r="O8">
        <v>0.89300000000000002</v>
      </c>
      <c r="P8">
        <v>0</v>
      </c>
      <c r="Q8">
        <v>30.302</v>
      </c>
      <c r="R8">
        <v>45.5</v>
      </c>
      <c r="S8">
        <v>5.44</v>
      </c>
    </row>
    <row r="9" spans="1:21" x14ac:dyDescent="0.3">
      <c r="A9" t="s">
        <v>553</v>
      </c>
      <c r="B9">
        <v>209.971</v>
      </c>
      <c r="C9">
        <v>70.436999999999998</v>
      </c>
      <c r="D9">
        <v>52.027000000000001</v>
      </c>
      <c r="E9">
        <v>0.40799999999999997</v>
      </c>
      <c r="F9">
        <v>79.793999999999997</v>
      </c>
      <c r="G9">
        <v>7.5839999999999996</v>
      </c>
      <c r="H9">
        <v>80.373999999999995</v>
      </c>
      <c r="I9">
        <v>62.012</v>
      </c>
      <c r="J9">
        <v>4.1680000000000001</v>
      </c>
      <c r="K9">
        <v>230.10900000000001</v>
      </c>
      <c r="L9">
        <v>6.0490000000000004</v>
      </c>
      <c r="M9">
        <v>52.65</v>
      </c>
      <c r="N9">
        <v>5.9749999999999996</v>
      </c>
      <c r="O9">
        <v>0.89100000000000001</v>
      </c>
      <c r="P9">
        <v>0</v>
      </c>
      <c r="Q9">
        <v>30.300999999999998</v>
      </c>
      <c r="R9">
        <v>45.5</v>
      </c>
      <c r="S9">
        <v>5.44</v>
      </c>
    </row>
    <row r="10" spans="1:21" x14ac:dyDescent="0.3">
      <c r="A10" t="s">
        <v>554</v>
      </c>
      <c r="B10">
        <v>209.876</v>
      </c>
      <c r="C10">
        <v>70.47</v>
      </c>
      <c r="D10">
        <v>52.161999999999999</v>
      </c>
      <c r="E10">
        <v>0.42599999999999999</v>
      </c>
      <c r="F10">
        <v>78.305000000000007</v>
      </c>
      <c r="G10">
        <v>7.4539999999999997</v>
      </c>
      <c r="H10">
        <v>80.37</v>
      </c>
      <c r="I10">
        <v>61.831000000000003</v>
      </c>
      <c r="J10">
        <v>4.1609999999999996</v>
      </c>
      <c r="K10">
        <v>229.74700000000001</v>
      </c>
      <c r="L10">
        <v>6.0410000000000004</v>
      </c>
      <c r="M10">
        <v>52.743000000000002</v>
      </c>
      <c r="N10">
        <v>5.976</v>
      </c>
      <c r="O10">
        <v>0.88700000000000001</v>
      </c>
      <c r="P10">
        <v>0</v>
      </c>
      <c r="Q10">
        <v>30.302</v>
      </c>
      <c r="R10">
        <v>45.4</v>
      </c>
      <c r="S10">
        <v>5.44</v>
      </c>
    </row>
    <row r="11" spans="1:21" x14ac:dyDescent="0.3">
      <c r="A11" t="s">
        <v>555</v>
      </c>
      <c r="B11">
        <v>210.21600000000001</v>
      </c>
      <c r="C11">
        <v>70.506</v>
      </c>
      <c r="D11">
        <v>52.119</v>
      </c>
      <c r="E11">
        <v>0.40100000000000002</v>
      </c>
      <c r="F11">
        <v>79.004999999999995</v>
      </c>
      <c r="G11">
        <v>7.4130000000000003</v>
      </c>
      <c r="H11">
        <v>80.408000000000001</v>
      </c>
      <c r="I11">
        <v>61.658999999999999</v>
      </c>
      <c r="J11">
        <v>4.1669999999999998</v>
      </c>
      <c r="K11">
        <v>230.142</v>
      </c>
      <c r="L11">
        <v>6.048</v>
      </c>
      <c r="M11">
        <v>52.67</v>
      </c>
      <c r="N11">
        <v>5.9809999999999999</v>
      </c>
      <c r="O11">
        <v>0.88</v>
      </c>
      <c r="P11">
        <v>0</v>
      </c>
      <c r="Q11">
        <v>30.326000000000001</v>
      </c>
      <c r="R11">
        <v>45.5</v>
      </c>
      <c r="S11">
        <v>5.44</v>
      </c>
    </row>
    <row r="12" spans="1:21" x14ac:dyDescent="0.3">
      <c r="A12" t="s">
        <v>556</v>
      </c>
      <c r="B12">
        <v>209.578</v>
      </c>
      <c r="C12">
        <v>70.453999999999994</v>
      </c>
      <c r="D12">
        <v>52.204000000000001</v>
      </c>
      <c r="E12">
        <v>0.435</v>
      </c>
      <c r="F12">
        <v>80.763000000000005</v>
      </c>
      <c r="G12">
        <v>7.7910000000000004</v>
      </c>
      <c r="H12">
        <v>80.238</v>
      </c>
      <c r="I12">
        <v>61.838999999999999</v>
      </c>
      <c r="J12">
        <v>4.1639999999999997</v>
      </c>
      <c r="K12">
        <v>229.73099999999999</v>
      </c>
      <c r="L12">
        <v>6.0439999999999996</v>
      </c>
      <c r="M12">
        <v>52.761000000000003</v>
      </c>
      <c r="N12">
        <v>5.9690000000000003</v>
      </c>
      <c r="O12">
        <v>0.90100000000000002</v>
      </c>
      <c r="P12">
        <v>0</v>
      </c>
      <c r="Q12">
        <v>30.341000000000001</v>
      </c>
      <c r="R12">
        <v>45.5</v>
      </c>
      <c r="S12">
        <v>5.44</v>
      </c>
    </row>
    <row r="13" spans="1:21" x14ac:dyDescent="0.3">
      <c r="A13" t="s">
        <v>557</v>
      </c>
      <c r="B13">
        <v>209.952</v>
      </c>
      <c r="C13">
        <v>70.572000000000003</v>
      </c>
      <c r="D13">
        <v>52.220999999999997</v>
      </c>
      <c r="E13">
        <v>0.38</v>
      </c>
      <c r="F13">
        <v>80.397999999999996</v>
      </c>
      <c r="G13">
        <v>7.1630000000000003</v>
      </c>
      <c r="H13">
        <v>80.378</v>
      </c>
      <c r="I13">
        <v>62.225000000000001</v>
      </c>
      <c r="J13">
        <v>4.1680000000000001</v>
      </c>
      <c r="K13">
        <v>229.96100000000001</v>
      </c>
      <c r="L13">
        <v>6.0439999999999996</v>
      </c>
      <c r="M13">
        <v>52.573</v>
      </c>
      <c r="N13">
        <v>5.9779999999999998</v>
      </c>
      <c r="O13">
        <v>0.89500000000000002</v>
      </c>
      <c r="P13">
        <v>0</v>
      </c>
      <c r="Q13">
        <v>30.359000000000002</v>
      </c>
      <c r="R13">
        <v>45.5</v>
      </c>
      <c r="S13">
        <v>5.44</v>
      </c>
    </row>
    <row r="14" spans="1:21" x14ac:dyDescent="0.3">
      <c r="A14" t="s">
        <v>558</v>
      </c>
      <c r="B14">
        <v>209.363</v>
      </c>
      <c r="C14">
        <v>70.474000000000004</v>
      </c>
      <c r="D14">
        <v>52.226999999999997</v>
      </c>
      <c r="E14">
        <v>0.43099999999999999</v>
      </c>
      <c r="F14">
        <v>80.247</v>
      </c>
      <c r="G14">
        <v>7.6109999999999998</v>
      </c>
      <c r="H14">
        <v>80.233000000000004</v>
      </c>
      <c r="I14">
        <v>62.02</v>
      </c>
      <c r="J14">
        <v>4.1619999999999999</v>
      </c>
      <c r="K14">
        <v>229.76400000000001</v>
      </c>
      <c r="L14">
        <v>6.0469999999999997</v>
      </c>
      <c r="M14">
        <v>52.609000000000002</v>
      </c>
      <c r="N14">
        <v>5.9770000000000003</v>
      </c>
      <c r="O14">
        <v>0.878</v>
      </c>
      <c r="P14">
        <v>0</v>
      </c>
      <c r="Q14">
        <v>30.352</v>
      </c>
      <c r="R14">
        <v>45.5</v>
      </c>
      <c r="S14">
        <v>5.44</v>
      </c>
    </row>
    <row r="15" spans="1:21" x14ac:dyDescent="0.3">
      <c r="A15" t="s">
        <v>559</v>
      </c>
      <c r="B15">
        <v>210.15899999999999</v>
      </c>
      <c r="C15">
        <v>70.456999999999994</v>
      </c>
      <c r="D15">
        <v>52.283000000000001</v>
      </c>
      <c r="E15">
        <v>0.40799999999999997</v>
      </c>
      <c r="F15">
        <v>80.111999999999995</v>
      </c>
      <c r="G15">
        <v>7.423</v>
      </c>
      <c r="H15">
        <v>80.328000000000003</v>
      </c>
      <c r="I15">
        <v>61.814999999999998</v>
      </c>
      <c r="J15">
        <v>4.1660000000000004</v>
      </c>
      <c r="K15">
        <v>230.059</v>
      </c>
      <c r="L15">
        <v>6.0449999999999999</v>
      </c>
      <c r="M15">
        <v>52.81</v>
      </c>
      <c r="N15">
        <v>5.9749999999999996</v>
      </c>
      <c r="O15">
        <v>0.88900000000000001</v>
      </c>
      <c r="P15">
        <v>0</v>
      </c>
      <c r="Q15">
        <v>30.344999999999999</v>
      </c>
      <c r="R15">
        <v>45.4</v>
      </c>
      <c r="S15">
        <v>5.44</v>
      </c>
    </row>
    <row r="16" spans="1:21" x14ac:dyDescent="0.3">
      <c r="A16" t="s">
        <v>560</v>
      </c>
      <c r="B16">
        <v>210.846</v>
      </c>
      <c r="C16">
        <v>70.52</v>
      </c>
      <c r="D16">
        <v>52.335999999999999</v>
      </c>
      <c r="E16">
        <v>0.40799999999999997</v>
      </c>
      <c r="F16">
        <v>78.805000000000007</v>
      </c>
      <c r="G16">
        <v>7.524</v>
      </c>
      <c r="H16">
        <v>80.367000000000004</v>
      </c>
      <c r="I16">
        <v>61.7</v>
      </c>
      <c r="J16">
        <v>4.1639999999999997</v>
      </c>
      <c r="K16">
        <v>229.797</v>
      </c>
      <c r="L16">
        <v>6.0439999999999996</v>
      </c>
      <c r="M16">
        <v>52.497999999999998</v>
      </c>
      <c r="N16">
        <v>5.9740000000000002</v>
      </c>
      <c r="O16">
        <v>0.90300000000000002</v>
      </c>
      <c r="P16">
        <v>0</v>
      </c>
      <c r="Q16">
        <v>30.343</v>
      </c>
      <c r="R16">
        <v>45.4</v>
      </c>
      <c r="S16">
        <v>5.44</v>
      </c>
    </row>
    <row r="17" spans="1:19" x14ac:dyDescent="0.3">
      <c r="A17" t="s">
        <v>561</v>
      </c>
      <c r="B17">
        <v>209.62299999999999</v>
      </c>
      <c r="C17">
        <v>70.497</v>
      </c>
      <c r="D17">
        <v>52.359000000000002</v>
      </c>
      <c r="E17">
        <v>0.41099999999999998</v>
      </c>
      <c r="F17">
        <v>80.522999999999996</v>
      </c>
      <c r="G17">
        <v>7.3369999999999997</v>
      </c>
      <c r="H17">
        <v>80.206999999999994</v>
      </c>
      <c r="I17">
        <v>61.93</v>
      </c>
      <c r="J17">
        <v>4.1639999999999997</v>
      </c>
      <c r="K17">
        <v>229.94399999999999</v>
      </c>
      <c r="L17">
        <v>6.048</v>
      </c>
      <c r="M17">
        <v>52.576999999999998</v>
      </c>
      <c r="N17">
        <v>5.9809999999999999</v>
      </c>
      <c r="O17">
        <v>0.89100000000000001</v>
      </c>
      <c r="P17">
        <v>0</v>
      </c>
      <c r="Q17">
        <v>30.347999999999999</v>
      </c>
      <c r="R17">
        <v>45.4</v>
      </c>
      <c r="S17">
        <v>5.44</v>
      </c>
    </row>
    <row r="18" spans="1:19" x14ac:dyDescent="0.3">
      <c r="A18" t="s">
        <v>562</v>
      </c>
      <c r="B18">
        <v>209.977</v>
      </c>
      <c r="C18">
        <v>70.528999999999996</v>
      </c>
      <c r="D18">
        <v>52.512999999999998</v>
      </c>
      <c r="E18">
        <v>0.41699999999999998</v>
      </c>
      <c r="F18">
        <v>80.783000000000001</v>
      </c>
      <c r="G18">
        <v>8.1419999999999995</v>
      </c>
      <c r="H18">
        <v>80.453000000000003</v>
      </c>
      <c r="I18">
        <v>62.234000000000002</v>
      </c>
      <c r="J18">
        <v>4.1630000000000003</v>
      </c>
      <c r="K18">
        <v>229.94399999999999</v>
      </c>
      <c r="L18">
        <v>6.0469999999999997</v>
      </c>
      <c r="M18">
        <v>52.552</v>
      </c>
      <c r="N18">
        <v>5.9740000000000002</v>
      </c>
      <c r="O18">
        <v>0.93100000000000005</v>
      </c>
      <c r="P18">
        <v>0</v>
      </c>
      <c r="Q18">
        <v>30.318000000000001</v>
      </c>
      <c r="R18">
        <v>45.4</v>
      </c>
      <c r="S18">
        <v>5.44</v>
      </c>
    </row>
    <row r="19" spans="1:19" x14ac:dyDescent="0.3">
      <c r="A19" t="s">
        <v>563</v>
      </c>
      <c r="B19">
        <v>210.15199999999999</v>
      </c>
      <c r="C19">
        <v>70.453999999999994</v>
      </c>
      <c r="D19">
        <v>52.470999999999997</v>
      </c>
      <c r="E19">
        <v>0.40200000000000002</v>
      </c>
      <c r="F19">
        <v>80.385000000000005</v>
      </c>
      <c r="G19">
        <v>7.8710000000000004</v>
      </c>
      <c r="H19">
        <v>80.307000000000002</v>
      </c>
      <c r="I19">
        <v>61.994999999999997</v>
      </c>
      <c r="J19">
        <v>4.1609999999999996</v>
      </c>
      <c r="K19">
        <v>229.994</v>
      </c>
      <c r="L19">
        <v>6.0449999999999999</v>
      </c>
      <c r="M19">
        <v>52.621000000000002</v>
      </c>
      <c r="N19">
        <v>5.976</v>
      </c>
      <c r="O19">
        <v>0.89500000000000002</v>
      </c>
      <c r="P19">
        <v>0</v>
      </c>
      <c r="Q19">
        <v>30.318999999999999</v>
      </c>
      <c r="R19">
        <v>45.4</v>
      </c>
      <c r="S19">
        <v>5.44</v>
      </c>
    </row>
    <row r="20" spans="1:19" x14ac:dyDescent="0.3">
      <c r="A20" t="s">
        <v>564</v>
      </c>
      <c r="B20">
        <v>210.429</v>
      </c>
      <c r="C20">
        <v>70.497</v>
      </c>
      <c r="D20">
        <v>52.494</v>
      </c>
      <c r="E20">
        <v>0.42499999999999999</v>
      </c>
      <c r="F20">
        <v>80.085999999999999</v>
      </c>
      <c r="G20">
        <v>7.3289999999999997</v>
      </c>
      <c r="H20">
        <v>80.387</v>
      </c>
      <c r="I20">
        <v>61.868000000000002</v>
      </c>
      <c r="J20">
        <v>4.165</v>
      </c>
      <c r="K20">
        <v>229.87899999999999</v>
      </c>
      <c r="L20">
        <v>6.0460000000000003</v>
      </c>
      <c r="M20">
        <v>52.771999999999998</v>
      </c>
      <c r="N20">
        <v>5.9720000000000004</v>
      </c>
      <c r="O20">
        <v>0.89900000000000002</v>
      </c>
      <c r="P20">
        <v>0</v>
      </c>
      <c r="Q20">
        <v>30.341000000000001</v>
      </c>
      <c r="R20">
        <v>45.5</v>
      </c>
      <c r="S20">
        <v>5.44</v>
      </c>
    </row>
    <row r="21" spans="1:19" x14ac:dyDescent="0.3">
      <c r="A21" t="s">
        <v>565</v>
      </c>
      <c r="B21">
        <v>210.89</v>
      </c>
      <c r="C21">
        <v>70.497</v>
      </c>
      <c r="D21">
        <v>52.427999999999997</v>
      </c>
      <c r="E21">
        <v>0.443</v>
      </c>
      <c r="F21">
        <v>79.704999999999998</v>
      </c>
      <c r="G21">
        <v>7.81</v>
      </c>
      <c r="H21">
        <v>80.402000000000001</v>
      </c>
      <c r="I21">
        <v>61.807000000000002</v>
      </c>
      <c r="J21">
        <v>4.1630000000000003</v>
      </c>
      <c r="K21">
        <v>229.94399999999999</v>
      </c>
      <c r="L21">
        <v>6.0449999999999999</v>
      </c>
      <c r="M21">
        <v>52.643999999999998</v>
      </c>
      <c r="N21">
        <v>5.976</v>
      </c>
      <c r="O21">
        <v>0.88500000000000001</v>
      </c>
      <c r="P21">
        <v>0</v>
      </c>
      <c r="Q21">
        <v>30.343</v>
      </c>
      <c r="R21">
        <v>45.5</v>
      </c>
      <c r="S21">
        <v>5.44</v>
      </c>
    </row>
    <row r="22" spans="1:19" x14ac:dyDescent="0.3">
      <c r="A22" t="s">
        <v>566</v>
      </c>
      <c r="B22">
        <v>210.15100000000001</v>
      </c>
      <c r="C22">
        <v>70.489999999999995</v>
      </c>
      <c r="D22">
        <v>52.375</v>
      </c>
      <c r="E22">
        <v>0.39</v>
      </c>
      <c r="F22">
        <v>80.102000000000004</v>
      </c>
      <c r="G22">
        <v>7.6870000000000003</v>
      </c>
      <c r="H22">
        <v>80.376000000000005</v>
      </c>
      <c r="I22">
        <v>61.707999999999998</v>
      </c>
      <c r="J22">
        <v>4.1660000000000004</v>
      </c>
      <c r="K22">
        <v>229.977</v>
      </c>
      <c r="L22">
        <v>6.048</v>
      </c>
      <c r="M22">
        <v>52.576999999999998</v>
      </c>
      <c r="N22">
        <v>5.9790000000000001</v>
      </c>
      <c r="O22">
        <v>0.88700000000000001</v>
      </c>
      <c r="P22">
        <v>0</v>
      </c>
      <c r="Q22">
        <v>30.343</v>
      </c>
      <c r="R22">
        <v>45.5</v>
      </c>
      <c r="S22">
        <v>5.44</v>
      </c>
    </row>
    <row r="23" spans="1:19" x14ac:dyDescent="0.3">
      <c r="A23" t="s">
        <v>567</v>
      </c>
      <c r="B23">
        <v>209.916</v>
      </c>
      <c r="C23">
        <v>70.510000000000005</v>
      </c>
      <c r="D23">
        <v>52.381999999999998</v>
      </c>
      <c r="E23">
        <v>0.40600000000000003</v>
      </c>
      <c r="F23">
        <v>79.201999999999998</v>
      </c>
      <c r="G23">
        <v>7.3490000000000002</v>
      </c>
      <c r="H23">
        <v>80.36</v>
      </c>
      <c r="I23">
        <v>61.774000000000001</v>
      </c>
      <c r="J23">
        <v>4.165</v>
      </c>
      <c r="K23">
        <v>230.059</v>
      </c>
      <c r="L23">
        <v>6.0449999999999999</v>
      </c>
      <c r="M23">
        <v>52.615000000000002</v>
      </c>
      <c r="N23">
        <v>5.9690000000000003</v>
      </c>
      <c r="O23">
        <v>0.89</v>
      </c>
      <c r="P23">
        <v>0</v>
      </c>
      <c r="Q23">
        <v>30.353000000000002</v>
      </c>
      <c r="R23">
        <v>45.5</v>
      </c>
      <c r="S23">
        <v>5.44</v>
      </c>
    </row>
    <row r="24" spans="1:19" x14ac:dyDescent="0.3">
      <c r="A24" t="s">
        <v>568</v>
      </c>
      <c r="B24">
        <v>209.99700000000001</v>
      </c>
      <c r="C24">
        <v>70.497</v>
      </c>
      <c r="D24">
        <v>52.384999999999998</v>
      </c>
      <c r="E24">
        <v>0.40500000000000003</v>
      </c>
      <c r="F24">
        <v>79.81</v>
      </c>
      <c r="G24">
        <v>7.6230000000000002</v>
      </c>
      <c r="H24">
        <v>80.509</v>
      </c>
      <c r="I24">
        <v>62.143000000000001</v>
      </c>
      <c r="J24">
        <v>4.165</v>
      </c>
      <c r="K24">
        <v>230.01</v>
      </c>
      <c r="L24">
        <v>6.048</v>
      </c>
      <c r="M24">
        <v>52.587000000000003</v>
      </c>
      <c r="N24">
        <v>5.9790000000000001</v>
      </c>
      <c r="O24">
        <v>0.89900000000000002</v>
      </c>
      <c r="P24">
        <v>0</v>
      </c>
      <c r="Q24">
        <v>30.353000000000002</v>
      </c>
      <c r="R24">
        <v>45.5</v>
      </c>
      <c r="S24">
        <v>5.44</v>
      </c>
    </row>
    <row r="25" spans="1:19" ht="15" thickBot="1" x14ac:dyDescent="0.35">
      <c r="A25" t="s">
        <v>569</v>
      </c>
      <c r="B25">
        <v>210.245</v>
      </c>
      <c r="C25">
        <v>70.513000000000005</v>
      </c>
      <c r="D25">
        <v>52.430999999999997</v>
      </c>
      <c r="E25">
        <v>0.42099999999999999</v>
      </c>
      <c r="F25">
        <v>78.472999999999999</v>
      </c>
      <c r="G25">
        <v>7.17</v>
      </c>
      <c r="H25">
        <v>80.225999999999999</v>
      </c>
      <c r="I25">
        <v>62.061</v>
      </c>
      <c r="J25">
        <v>4.16</v>
      </c>
      <c r="K25">
        <v>229.82900000000001</v>
      </c>
      <c r="L25">
        <v>6.0380000000000003</v>
      </c>
      <c r="M25">
        <v>52.518000000000001</v>
      </c>
      <c r="N25">
        <v>5.9779999999999998</v>
      </c>
      <c r="O25">
        <v>0.89100000000000001</v>
      </c>
      <c r="P25">
        <v>0</v>
      </c>
      <c r="Q25">
        <v>30.367000000000001</v>
      </c>
      <c r="R25">
        <v>45.5</v>
      </c>
      <c r="S25">
        <v>5.44</v>
      </c>
    </row>
    <row r="26" spans="1:19" ht="15" thickBot="1" x14ac:dyDescent="0.35">
      <c r="A26" t="s">
        <v>30</v>
      </c>
      <c r="B26" s="1">
        <f t="shared" ref="B26:S26" si="0">AVERAGE(B6:B25)</f>
        <v>210.03640000000001</v>
      </c>
      <c r="C26" s="1">
        <f t="shared" si="0"/>
        <v>70.491199999999992</v>
      </c>
      <c r="D26" s="1">
        <f t="shared" si="0"/>
        <v>52.267399999999995</v>
      </c>
      <c r="E26" s="10">
        <f t="shared" si="0"/>
        <v>0.41049999999999998</v>
      </c>
      <c r="F26" s="1">
        <f t="shared" si="0"/>
        <v>79.731149999999985</v>
      </c>
      <c r="G26" s="1">
        <f t="shared" si="0"/>
        <v>7.5274999999999981</v>
      </c>
      <c r="H26" s="10">
        <f t="shared" si="0"/>
        <v>80.330999999999989</v>
      </c>
      <c r="I26" s="1">
        <f t="shared" si="0"/>
        <v>61.886400000000016</v>
      </c>
      <c r="J26" s="8">
        <f t="shared" si="0"/>
        <v>4.1641500000000011</v>
      </c>
      <c r="K26" s="1">
        <f t="shared" si="0"/>
        <v>229.94189999999998</v>
      </c>
      <c r="L26" s="1">
        <f t="shared" si="0"/>
        <v>6.0448500000000003</v>
      </c>
      <c r="M26" s="1">
        <f t="shared" si="0"/>
        <v>52.643000000000008</v>
      </c>
      <c r="N26" s="1">
        <f t="shared" si="0"/>
        <v>5.9758499999999994</v>
      </c>
      <c r="O26" s="1">
        <f t="shared" si="0"/>
        <v>0.89400000000000013</v>
      </c>
      <c r="P26" s="1">
        <f t="shared" si="0"/>
        <v>0</v>
      </c>
      <c r="Q26" s="1">
        <f t="shared" si="0"/>
        <v>30.327599999999997</v>
      </c>
      <c r="R26" s="1">
        <f t="shared" si="0"/>
        <v>45.469999999999992</v>
      </c>
      <c r="S26" s="1">
        <f t="shared" si="0"/>
        <v>5.4399999999999986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2832-781C-4D0C-A3D1-4ED350A275D3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0.64427083333333335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2.2523376775247286</v>
      </c>
      <c r="M2" s="8">
        <f>100*(R26/(R26+Q26))</f>
        <v>60.011277043601567</v>
      </c>
      <c r="O2" s="9">
        <f>100*((E26*C2)/((E26*C2)+(K2*E2)))</f>
        <v>14.61766843938433</v>
      </c>
      <c r="Q2" s="10">
        <f>100*J26*(1/(((C2/3.6)*E26)+((E2/3.6)*K2)))</f>
        <v>16.069383479633707</v>
      </c>
      <c r="S2" s="6">
        <v>3.54</v>
      </c>
      <c r="U2" s="10">
        <f>100*((((G26*0.001*60)*(C26-D26)*(S2/3.6)))/(((C2/3.6)*E26)+((E2/3.6)*K2)))</f>
        <v>24.977825275451256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570</v>
      </c>
      <c r="B6">
        <v>237.292</v>
      </c>
      <c r="C6">
        <v>71.070999999999998</v>
      </c>
      <c r="D6">
        <v>55.104999999999997</v>
      </c>
      <c r="E6">
        <v>0.42599999999999999</v>
      </c>
      <c r="F6">
        <v>81.153999999999996</v>
      </c>
      <c r="G6">
        <v>9.6750000000000007</v>
      </c>
      <c r="H6">
        <v>87.278000000000006</v>
      </c>
      <c r="I6">
        <v>61.921999999999997</v>
      </c>
      <c r="J6">
        <v>5.8879999999999999</v>
      </c>
      <c r="K6">
        <v>230.02699999999999</v>
      </c>
      <c r="L6">
        <v>8.5180000000000007</v>
      </c>
      <c r="M6">
        <v>52.493000000000002</v>
      </c>
      <c r="N6">
        <v>8.484</v>
      </c>
      <c r="O6">
        <v>0.92300000000000004</v>
      </c>
      <c r="P6">
        <v>0</v>
      </c>
      <c r="Q6">
        <v>32.886000000000003</v>
      </c>
      <c r="R6">
        <v>49.6</v>
      </c>
      <c r="S6">
        <v>8.84</v>
      </c>
    </row>
    <row r="7" spans="1:21" x14ac:dyDescent="0.3">
      <c r="A7" t="s">
        <v>571</v>
      </c>
      <c r="B7">
        <v>237.482</v>
      </c>
      <c r="C7">
        <v>71.042000000000002</v>
      </c>
      <c r="D7">
        <v>55.155000000000001</v>
      </c>
      <c r="E7">
        <v>0.44500000000000001</v>
      </c>
      <c r="F7">
        <v>80.441000000000003</v>
      </c>
      <c r="G7">
        <v>9.548</v>
      </c>
      <c r="H7">
        <v>87.191999999999993</v>
      </c>
      <c r="I7">
        <v>62.139000000000003</v>
      </c>
      <c r="J7">
        <v>5.8949999999999996</v>
      </c>
      <c r="K7">
        <v>230.273</v>
      </c>
      <c r="L7">
        <v>8.5269999999999992</v>
      </c>
      <c r="M7">
        <v>52.564</v>
      </c>
      <c r="N7">
        <v>8.4909999999999997</v>
      </c>
      <c r="O7">
        <v>0.88900000000000001</v>
      </c>
      <c r="P7">
        <v>0</v>
      </c>
      <c r="Q7">
        <v>32.837000000000003</v>
      </c>
      <c r="R7">
        <v>49.7</v>
      </c>
      <c r="S7">
        <v>8.84</v>
      </c>
    </row>
    <row r="8" spans="1:21" x14ac:dyDescent="0.3">
      <c r="A8" t="s">
        <v>572</v>
      </c>
      <c r="B8">
        <v>238.06100000000001</v>
      </c>
      <c r="C8">
        <v>71.019000000000005</v>
      </c>
      <c r="D8">
        <v>55.170999999999999</v>
      </c>
      <c r="E8">
        <v>0.47299999999999998</v>
      </c>
      <c r="F8">
        <v>79.501000000000005</v>
      </c>
      <c r="G8">
        <v>9.76</v>
      </c>
      <c r="H8">
        <v>87.433999999999997</v>
      </c>
      <c r="I8">
        <v>62.25</v>
      </c>
      <c r="J8">
        <v>5.8849999999999998</v>
      </c>
      <c r="K8">
        <v>230.07599999999999</v>
      </c>
      <c r="L8">
        <v>8.52</v>
      </c>
      <c r="M8">
        <v>52.576999999999998</v>
      </c>
      <c r="N8">
        <v>8.4930000000000003</v>
      </c>
      <c r="O8">
        <v>0.90100000000000002</v>
      </c>
      <c r="P8">
        <v>0</v>
      </c>
      <c r="Q8">
        <v>32.869</v>
      </c>
      <c r="R8">
        <v>49.7</v>
      </c>
      <c r="S8">
        <v>8.84</v>
      </c>
    </row>
    <row r="9" spans="1:21" x14ac:dyDescent="0.3">
      <c r="A9" t="s">
        <v>573</v>
      </c>
      <c r="B9">
        <v>237.327</v>
      </c>
      <c r="C9">
        <v>71.045000000000002</v>
      </c>
      <c r="D9">
        <v>55.094999999999999</v>
      </c>
      <c r="E9">
        <v>0.45100000000000001</v>
      </c>
      <c r="F9">
        <v>80.474000000000004</v>
      </c>
      <c r="G9">
        <v>9.2289999999999992</v>
      </c>
      <c r="H9">
        <v>87.465000000000003</v>
      </c>
      <c r="I9">
        <v>62.143000000000001</v>
      </c>
      <c r="J9">
        <v>5.8949999999999996</v>
      </c>
      <c r="K9">
        <v>230.35499999999999</v>
      </c>
      <c r="L9">
        <v>8.532</v>
      </c>
      <c r="M9">
        <v>52.594999999999999</v>
      </c>
      <c r="N9">
        <v>8.4920000000000009</v>
      </c>
      <c r="O9">
        <v>0.91800000000000004</v>
      </c>
      <c r="P9">
        <v>0</v>
      </c>
      <c r="Q9">
        <v>32.898000000000003</v>
      </c>
      <c r="R9">
        <v>49.7</v>
      </c>
      <c r="S9">
        <v>8.84</v>
      </c>
    </row>
    <row r="10" spans="1:21" x14ac:dyDescent="0.3">
      <c r="A10" t="s">
        <v>574</v>
      </c>
      <c r="B10">
        <v>237.321</v>
      </c>
      <c r="C10">
        <v>71.042000000000002</v>
      </c>
      <c r="D10">
        <v>55.101999999999997</v>
      </c>
      <c r="E10">
        <v>0.42599999999999999</v>
      </c>
      <c r="F10">
        <v>80.141999999999996</v>
      </c>
      <c r="G10">
        <v>9.2919999999999998</v>
      </c>
      <c r="H10">
        <v>87.537000000000006</v>
      </c>
      <c r="I10">
        <v>62.057000000000002</v>
      </c>
      <c r="J10">
        <v>5.8849999999999998</v>
      </c>
      <c r="K10">
        <v>230.09200000000001</v>
      </c>
      <c r="L10">
        <v>8.52</v>
      </c>
      <c r="M10">
        <v>52.405999999999999</v>
      </c>
      <c r="N10">
        <v>8.4849999999999994</v>
      </c>
      <c r="O10">
        <v>0.876</v>
      </c>
      <c r="P10">
        <v>0</v>
      </c>
      <c r="Q10">
        <v>32.923999999999999</v>
      </c>
      <c r="R10">
        <v>49.6</v>
      </c>
      <c r="S10">
        <v>8.84</v>
      </c>
    </row>
    <row r="11" spans="1:21" x14ac:dyDescent="0.3">
      <c r="A11" t="s">
        <v>575</v>
      </c>
      <c r="B11">
        <v>237.32900000000001</v>
      </c>
      <c r="C11">
        <v>71.070999999999998</v>
      </c>
      <c r="D11">
        <v>55.131999999999998</v>
      </c>
      <c r="E11">
        <v>0.42499999999999999</v>
      </c>
      <c r="F11">
        <v>80.760000000000005</v>
      </c>
      <c r="G11">
        <v>9.6289999999999996</v>
      </c>
      <c r="H11">
        <v>87.534999999999997</v>
      </c>
      <c r="I11">
        <v>61.942</v>
      </c>
      <c r="J11">
        <v>5.8970000000000002</v>
      </c>
      <c r="K11">
        <v>230.30600000000001</v>
      </c>
      <c r="L11">
        <v>8.5329999999999995</v>
      </c>
      <c r="M11">
        <v>52.512</v>
      </c>
      <c r="N11">
        <v>8.4860000000000007</v>
      </c>
      <c r="O11">
        <v>0.90900000000000003</v>
      </c>
      <c r="P11">
        <v>0</v>
      </c>
      <c r="Q11">
        <v>32.991</v>
      </c>
      <c r="R11">
        <v>49.6</v>
      </c>
      <c r="S11">
        <v>8.84</v>
      </c>
    </row>
    <row r="12" spans="1:21" x14ac:dyDescent="0.3">
      <c r="A12" t="s">
        <v>576</v>
      </c>
      <c r="B12">
        <v>237.36799999999999</v>
      </c>
      <c r="C12">
        <v>71.039000000000001</v>
      </c>
      <c r="D12">
        <v>55.151000000000003</v>
      </c>
      <c r="E12">
        <v>0.46400000000000002</v>
      </c>
      <c r="F12">
        <v>80.605000000000004</v>
      </c>
      <c r="G12">
        <v>9.7469999999999999</v>
      </c>
      <c r="H12">
        <v>87.549000000000007</v>
      </c>
      <c r="I12">
        <v>61.835000000000001</v>
      </c>
      <c r="J12">
        <v>5.8860000000000001</v>
      </c>
      <c r="K12">
        <v>229.977</v>
      </c>
      <c r="L12">
        <v>8.5150000000000006</v>
      </c>
      <c r="M12">
        <v>52.593000000000004</v>
      </c>
      <c r="N12">
        <v>8.4930000000000003</v>
      </c>
      <c r="O12">
        <v>0.89700000000000002</v>
      </c>
      <c r="P12">
        <v>0</v>
      </c>
      <c r="Q12">
        <v>33.055</v>
      </c>
      <c r="R12">
        <v>49.6</v>
      </c>
      <c r="S12">
        <v>8.84</v>
      </c>
    </row>
    <row r="13" spans="1:21" x14ac:dyDescent="0.3">
      <c r="A13" t="s">
        <v>577</v>
      </c>
      <c r="B13">
        <v>237.59299999999999</v>
      </c>
      <c r="C13">
        <v>71.070999999999998</v>
      </c>
      <c r="D13">
        <v>55.204000000000001</v>
      </c>
      <c r="E13">
        <v>0.47799999999999998</v>
      </c>
      <c r="F13">
        <v>81.492000000000004</v>
      </c>
      <c r="G13">
        <v>9.8770000000000007</v>
      </c>
      <c r="H13">
        <v>87.427000000000007</v>
      </c>
      <c r="I13">
        <v>62.274999999999999</v>
      </c>
      <c r="J13">
        <v>5.8940000000000001</v>
      </c>
      <c r="K13">
        <v>230.24</v>
      </c>
      <c r="L13">
        <v>8.532</v>
      </c>
      <c r="M13">
        <v>52.472999999999999</v>
      </c>
      <c r="N13">
        <v>8.4849999999999994</v>
      </c>
      <c r="O13">
        <v>0.90600000000000003</v>
      </c>
      <c r="P13">
        <v>0</v>
      </c>
      <c r="Q13">
        <v>33.1</v>
      </c>
      <c r="R13">
        <v>49.6</v>
      </c>
      <c r="S13">
        <v>8.84</v>
      </c>
    </row>
    <row r="14" spans="1:21" x14ac:dyDescent="0.3">
      <c r="A14" t="s">
        <v>578</v>
      </c>
      <c r="B14">
        <v>237.68100000000001</v>
      </c>
      <c r="C14">
        <v>71.034999999999997</v>
      </c>
      <c r="D14">
        <v>55.256</v>
      </c>
      <c r="E14">
        <v>0.45500000000000002</v>
      </c>
      <c r="F14">
        <v>81.39</v>
      </c>
      <c r="G14">
        <v>9.5579999999999998</v>
      </c>
      <c r="H14">
        <v>87.545000000000002</v>
      </c>
      <c r="I14">
        <v>62.372999999999998</v>
      </c>
      <c r="J14">
        <v>5.8890000000000002</v>
      </c>
      <c r="K14">
        <v>229.96100000000001</v>
      </c>
      <c r="L14">
        <v>8.5299999999999994</v>
      </c>
      <c r="M14">
        <v>52.531999999999996</v>
      </c>
      <c r="N14">
        <v>8.4849999999999994</v>
      </c>
      <c r="O14">
        <v>0.90600000000000003</v>
      </c>
      <c r="P14">
        <v>0</v>
      </c>
      <c r="Q14">
        <v>33.104999999999997</v>
      </c>
      <c r="R14">
        <v>49.7</v>
      </c>
      <c r="S14">
        <v>8.84</v>
      </c>
    </row>
    <row r="15" spans="1:21" x14ac:dyDescent="0.3">
      <c r="A15" t="s">
        <v>579</v>
      </c>
      <c r="B15">
        <v>237.77600000000001</v>
      </c>
      <c r="C15">
        <v>71.087999999999994</v>
      </c>
      <c r="D15">
        <v>55.273000000000003</v>
      </c>
      <c r="E15">
        <v>0.41</v>
      </c>
      <c r="F15">
        <v>79.605999999999995</v>
      </c>
      <c r="G15">
        <v>9.4890000000000008</v>
      </c>
      <c r="H15">
        <v>87.6</v>
      </c>
      <c r="I15">
        <v>62.246000000000002</v>
      </c>
      <c r="J15">
        <v>5.8940000000000001</v>
      </c>
      <c r="K15">
        <v>230.25700000000001</v>
      </c>
      <c r="L15">
        <v>8.5410000000000004</v>
      </c>
      <c r="M15">
        <v>52.362000000000002</v>
      </c>
      <c r="N15">
        <v>8.4830000000000005</v>
      </c>
      <c r="O15">
        <v>0.92600000000000005</v>
      </c>
      <c r="P15">
        <v>0</v>
      </c>
      <c r="Q15">
        <v>33.079000000000001</v>
      </c>
      <c r="R15">
        <v>49.7</v>
      </c>
      <c r="S15">
        <v>8.84</v>
      </c>
    </row>
    <row r="16" spans="1:21" x14ac:dyDescent="0.3">
      <c r="A16" t="s">
        <v>580</v>
      </c>
      <c r="B16">
        <v>237.321</v>
      </c>
      <c r="C16">
        <v>71.081000000000003</v>
      </c>
      <c r="D16">
        <v>55.170999999999999</v>
      </c>
      <c r="E16">
        <v>0.41099999999999998</v>
      </c>
      <c r="F16">
        <v>80.75</v>
      </c>
      <c r="G16">
        <v>9.7880000000000003</v>
      </c>
      <c r="H16">
        <v>87.697000000000003</v>
      </c>
      <c r="I16">
        <v>62.152000000000001</v>
      </c>
      <c r="J16">
        <v>5.8869999999999996</v>
      </c>
      <c r="K16">
        <v>230.07599999999999</v>
      </c>
      <c r="L16">
        <v>8.5250000000000004</v>
      </c>
      <c r="M16">
        <v>52.457000000000001</v>
      </c>
      <c r="N16">
        <v>8.4860000000000007</v>
      </c>
      <c r="O16">
        <v>0.79700000000000004</v>
      </c>
      <c r="P16">
        <v>0</v>
      </c>
      <c r="Q16">
        <v>33.116</v>
      </c>
      <c r="R16">
        <v>49.7</v>
      </c>
      <c r="S16">
        <v>8.84</v>
      </c>
    </row>
    <row r="17" spans="1:19" x14ac:dyDescent="0.3">
      <c r="A17" t="s">
        <v>581</v>
      </c>
      <c r="B17">
        <v>237.66</v>
      </c>
      <c r="C17">
        <v>71.034999999999997</v>
      </c>
      <c r="D17">
        <v>55.253</v>
      </c>
      <c r="E17">
        <v>0.45</v>
      </c>
      <c r="F17">
        <v>80.706999999999994</v>
      </c>
      <c r="G17">
        <v>9.6880000000000006</v>
      </c>
      <c r="H17">
        <v>87.727999999999994</v>
      </c>
      <c r="I17">
        <v>62.082000000000001</v>
      </c>
      <c r="J17">
        <v>5.8949999999999996</v>
      </c>
      <c r="K17">
        <v>230.15799999999999</v>
      </c>
      <c r="L17">
        <v>8.5329999999999995</v>
      </c>
      <c r="M17">
        <v>52.386000000000003</v>
      </c>
      <c r="N17">
        <v>8.4849999999999994</v>
      </c>
      <c r="O17">
        <v>0.91</v>
      </c>
      <c r="P17">
        <v>0</v>
      </c>
      <c r="Q17">
        <v>33.158999999999999</v>
      </c>
      <c r="R17">
        <v>49.7</v>
      </c>
      <c r="S17">
        <v>8.84</v>
      </c>
    </row>
    <row r="18" spans="1:19" x14ac:dyDescent="0.3">
      <c r="A18" t="s">
        <v>582</v>
      </c>
      <c r="B18">
        <v>237.08799999999999</v>
      </c>
      <c r="C18">
        <v>71.045000000000002</v>
      </c>
      <c r="D18">
        <v>55.026000000000003</v>
      </c>
      <c r="E18">
        <v>0.48499999999999999</v>
      </c>
      <c r="F18">
        <v>80.736999999999995</v>
      </c>
      <c r="G18">
        <v>9.9060000000000006</v>
      </c>
      <c r="H18">
        <v>87.545000000000002</v>
      </c>
      <c r="I18">
        <v>62.012</v>
      </c>
      <c r="J18">
        <v>5.89</v>
      </c>
      <c r="K18">
        <v>230.07599999999999</v>
      </c>
      <c r="L18">
        <v>8.5370000000000008</v>
      </c>
      <c r="M18">
        <v>52.475000000000001</v>
      </c>
      <c r="N18">
        <v>8.484</v>
      </c>
      <c r="O18">
        <v>0.90400000000000003</v>
      </c>
      <c r="P18">
        <v>0</v>
      </c>
      <c r="Q18">
        <v>33.15</v>
      </c>
      <c r="R18">
        <v>49.6</v>
      </c>
      <c r="S18">
        <v>8.84</v>
      </c>
    </row>
    <row r="19" spans="1:19" x14ac:dyDescent="0.3">
      <c r="A19" t="s">
        <v>583</v>
      </c>
      <c r="B19">
        <v>238.065</v>
      </c>
      <c r="C19">
        <v>71.067999999999998</v>
      </c>
      <c r="D19">
        <v>55.063000000000002</v>
      </c>
      <c r="E19">
        <v>0.504</v>
      </c>
      <c r="F19">
        <v>80.141999999999996</v>
      </c>
      <c r="G19">
        <v>9.9420000000000002</v>
      </c>
      <c r="H19">
        <v>87.653000000000006</v>
      </c>
      <c r="I19">
        <v>62.045000000000002</v>
      </c>
      <c r="J19">
        <v>5.8949999999999996</v>
      </c>
      <c r="K19">
        <v>230.339</v>
      </c>
      <c r="L19">
        <v>8.5299999999999994</v>
      </c>
      <c r="M19">
        <v>52.463000000000001</v>
      </c>
      <c r="N19">
        <v>8.4920000000000009</v>
      </c>
      <c r="O19">
        <v>0.91</v>
      </c>
      <c r="P19">
        <v>0</v>
      </c>
      <c r="Q19">
        <v>33.137999999999998</v>
      </c>
      <c r="R19">
        <v>49.6</v>
      </c>
      <c r="S19">
        <v>8.84</v>
      </c>
    </row>
    <row r="20" spans="1:19" x14ac:dyDescent="0.3">
      <c r="A20" t="s">
        <v>584</v>
      </c>
      <c r="B20">
        <v>238.05799999999999</v>
      </c>
      <c r="C20">
        <v>71.058000000000007</v>
      </c>
      <c r="D20">
        <v>55.048999999999999</v>
      </c>
      <c r="E20">
        <v>0.52700000000000002</v>
      </c>
      <c r="F20">
        <v>81.350999999999999</v>
      </c>
      <c r="G20">
        <v>10.307</v>
      </c>
      <c r="H20">
        <v>87.563000000000002</v>
      </c>
      <c r="I20">
        <v>62.101999999999997</v>
      </c>
      <c r="J20">
        <v>5.8869999999999996</v>
      </c>
      <c r="K20">
        <v>229.91200000000001</v>
      </c>
      <c r="L20">
        <v>8.5210000000000008</v>
      </c>
      <c r="M20">
        <v>52.52</v>
      </c>
      <c r="N20">
        <v>8.4920000000000009</v>
      </c>
      <c r="O20">
        <v>0.92</v>
      </c>
      <c r="P20">
        <v>0</v>
      </c>
      <c r="Q20">
        <v>33.164000000000001</v>
      </c>
      <c r="R20">
        <v>49.7</v>
      </c>
      <c r="S20">
        <v>8.84</v>
      </c>
    </row>
    <row r="21" spans="1:19" x14ac:dyDescent="0.3">
      <c r="A21" t="s">
        <v>585</v>
      </c>
      <c r="B21">
        <v>238.279</v>
      </c>
      <c r="C21">
        <v>71.039000000000001</v>
      </c>
      <c r="D21">
        <v>55.094999999999999</v>
      </c>
      <c r="E21">
        <v>0.498</v>
      </c>
      <c r="F21">
        <v>80.975999999999999</v>
      </c>
      <c r="G21">
        <v>9.4559999999999995</v>
      </c>
      <c r="H21">
        <v>87.748999999999995</v>
      </c>
      <c r="I21">
        <v>62.274999999999999</v>
      </c>
      <c r="J21">
        <v>5.8940000000000001</v>
      </c>
      <c r="K21">
        <v>230.28899999999999</v>
      </c>
      <c r="L21">
        <v>8.5289999999999999</v>
      </c>
      <c r="M21">
        <v>52.502000000000002</v>
      </c>
      <c r="N21">
        <v>8.4849999999999994</v>
      </c>
      <c r="O21">
        <v>0.92100000000000004</v>
      </c>
      <c r="P21">
        <v>0</v>
      </c>
      <c r="Q21">
        <v>33.225999999999999</v>
      </c>
      <c r="R21">
        <v>49.6</v>
      </c>
      <c r="S21">
        <v>8.84</v>
      </c>
    </row>
    <row r="22" spans="1:19" x14ac:dyDescent="0.3">
      <c r="A22" t="s">
        <v>586</v>
      </c>
      <c r="B22">
        <v>238.42699999999999</v>
      </c>
      <c r="C22">
        <v>71.108000000000004</v>
      </c>
      <c r="D22">
        <v>55.194000000000003</v>
      </c>
      <c r="E22">
        <v>0.45500000000000002</v>
      </c>
      <c r="F22">
        <v>81.811000000000007</v>
      </c>
      <c r="G22">
        <v>9.8490000000000002</v>
      </c>
      <c r="H22">
        <v>87.811999999999998</v>
      </c>
      <c r="I22">
        <v>62.48</v>
      </c>
      <c r="J22">
        <v>5.8879999999999999</v>
      </c>
      <c r="K22">
        <v>230.04300000000001</v>
      </c>
      <c r="L22">
        <v>8.5239999999999991</v>
      </c>
      <c r="M22">
        <v>52.470999999999997</v>
      </c>
      <c r="N22">
        <v>8.4830000000000005</v>
      </c>
      <c r="O22">
        <v>0.92900000000000005</v>
      </c>
      <c r="P22">
        <v>0</v>
      </c>
      <c r="Q22">
        <v>33.277000000000001</v>
      </c>
      <c r="R22">
        <v>49.6</v>
      </c>
      <c r="S22">
        <v>8.84</v>
      </c>
    </row>
    <row r="23" spans="1:19" x14ac:dyDescent="0.3">
      <c r="A23" t="s">
        <v>587</v>
      </c>
      <c r="B23">
        <v>238.02699999999999</v>
      </c>
      <c r="C23">
        <v>71.134</v>
      </c>
      <c r="D23">
        <v>55.344999999999999</v>
      </c>
      <c r="E23">
        <v>0.41099999999999998</v>
      </c>
      <c r="F23">
        <v>80.927000000000007</v>
      </c>
      <c r="G23">
        <v>10.210000000000001</v>
      </c>
      <c r="H23">
        <v>87.75</v>
      </c>
      <c r="I23">
        <v>62.298999999999999</v>
      </c>
      <c r="J23">
        <v>5.8959999999999999</v>
      </c>
      <c r="K23">
        <v>230.24</v>
      </c>
      <c r="L23">
        <v>8.5280000000000005</v>
      </c>
      <c r="M23">
        <v>52.503999999999998</v>
      </c>
      <c r="N23">
        <v>8.4949999999999992</v>
      </c>
      <c r="O23">
        <v>0.91900000000000004</v>
      </c>
      <c r="P23">
        <v>0</v>
      </c>
      <c r="Q23">
        <v>33.264000000000003</v>
      </c>
      <c r="R23">
        <v>49.6</v>
      </c>
      <c r="S23">
        <v>8.84</v>
      </c>
    </row>
    <row r="24" spans="1:19" x14ac:dyDescent="0.3">
      <c r="A24" t="s">
        <v>588</v>
      </c>
      <c r="B24">
        <v>238.215</v>
      </c>
      <c r="C24">
        <v>71.162999999999997</v>
      </c>
      <c r="D24">
        <v>55.45</v>
      </c>
      <c r="E24">
        <v>0.41099999999999998</v>
      </c>
      <c r="F24">
        <v>80.608000000000004</v>
      </c>
      <c r="G24">
        <v>10.250999999999999</v>
      </c>
      <c r="H24">
        <v>87.790999999999997</v>
      </c>
      <c r="I24">
        <v>61.95</v>
      </c>
      <c r="J24">
        <v>5.8940000000000001</v>
      </c>
      <c r="K24">
        <v>230.25700000000001</v>
      </c>
      <c r="L24">
        <v>8.5340000000000007</v>
      </c>
      <c r="M24">
        <v>52.466999999999999</v>
      </c>
      <c r="N24">
        <v>8.4930000000000003</v>
      </c>
      <c r="O24">
        <v>0.90700000000000003</v>
      </c>
      <c r="P24">
        <v>0</v>
      </c>
      <c r="Q24">
        <v>33.222999999999999</v>
      </c>
      <c r="R24">
        <v>49.7</v>
      </c>
      <c r="S24">
        <v>8.84</v>
      </c>
    </row>
    <row r="25" spans="1:19" ht="15" thickBot="1" x14ac:dyDescent="0.35">
      <c r="A25" t="s">
        <v>589</v>
      </c>
      <c r="B25">
        <v>237.93799999999999</v>
      </c>
      <c r="C25">
        <v>71.2</v>
      </c>
      <c r="D25">
        <v>55.420999999999999</v>
      </c>
      <c r="E25">
        <v>0.43099999999999999</v>
      </c>
      <c r="F25">
        <v>80.549000000000007</v>
      </c>
      <c r="G25">
        <v>10.179</v>
      </c>
      <c r="H25">
        <v>87.638999999999996</v>
      </c>
      <c r="I25">
        <v>62.143000000000001</v>
      </c>
      <c r="J25">
        <v>5.8869999999999996</v>
      </c>
      <c r="K25">
        <v>229.994</v>
      </c>
      <c r="L25">
        <v>8.5180000000000007</v>
      </c>
      <c r="M25">
        <v>52.54</v>
      </c>
      <c r="N25">
        <v>8.484</v>
      </c>
      <c r="O25">
        <v>0.91100000000000003</v>
      </c>
      <c r="P25">
        <v>0</v>
      </c>
      <c r="Q25">
        <v>33.228000000000002</v>
      </c>
      <c r="R25">
        <v>49.7</v>
      </c>
      <c r="S25">
        <v>8.84</v>
      </c>
    </row>
    <row r="26" spans="1:19" ht="15" thickBot="1" x14ac:dyDescent="0.35">
      <c r="A26" t="s">
        <v>30</v>
      </c>
      <c r="B26" s="1">
        <f t="shared" ref="B26:S26" si="0">AVERAGE(B6:B25)</f>
        <v>237.71539999999999</v>
      </c>
      <c r="C26" s="1">
        <f t="shared" si="0"/>
        <v>71.072699999999998</v>
      </c>
      <c r="D26" s="1">
        <f t="shared" si="0"/>
        <v>55.185549999999999</v>
      </c>
      <c r="E26" s="10">
        <f t="shared" si="0"/>
        <v>0.45179999999999998</v>
      </c>
      <c r="F26" s="1">
        <f t="shared" si="0"/>
        <v>80.706149999999994</v>
      </c>
      <c r="G26" s="1">
        <f t="shared" si="0"/>
        <v>9.7690000000000001</v>
      </c>
      <c r="H26" s="10">
        <f t="shared" si="0"/>
        <v>87.574449999999999</v>
      </c>
      <c r="I26" s="1">
        <f t="shared" si="0"/>
        <v>62.136099999999999</v>
      </c>
      <c r="J26" s="8">
        <f t="shared" si="0"/>
        <v>5.8910500000000008</v>
      </c>
      <c r="K26" s="1">
        <f t="shared" si="0"/>
        <v>230.14739999999998</v>
      </c>
      <c r="L26" s="1">
        <f t="shared" si="0"/>
        <v>8.5273500000000002</v>
      </c>
      <c r="M26" s="1">
        <f t="shared" si="0"/>
        <v>52.494599999999991</v>
      </c>
      <c r="N26" s="1">
        <f t="shared" si="0"/>
        <v>8.4878000000000036</v>
      </c>
      <c r="O26" s="1">
        <f t="shared" si="0"/>
        <v>0.90395000000000003</v>
      </c>
      <c r="P26" s="1">
        <f t="shared" si="0"/>
        <v>0</v>
      </c>
      <c r="Q26" s="1">
        <f t="shared" si="0"/>
        <v>33.084449999999997</v>
      </c>
      <c r="R26" s="1">
        <f t="shared" si="0"/>
        <v>49.65000000000002</v>
      </c>
      <c r="S26" s="1">
        <f t="shared" si="0"/>
        <v>8.8400000000000016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181-D49F-49C0-9DBA-83188AC6D549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0.64531249999999996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2.5195015018183167</v>
      </c>
      <c r="M2" s="8">
        <f>100*(R26/(R26+Q26))</f>
        <v>59.990365330709494</v>
      </c>
      <c r="O2" s="9">
        <f>100*((E26*C2)/((E26*C2)+(K2*E2)))</f>
        <v>13.687971758679963</v>
      </c>
      <c r="Q2" s="10">
        <f>100*J26*(1/(((C2/3.6)*E26)+((E2/3.6)*K2)))</f>
        <v>19.512359775593307</v>
      </c>
      <c r="S2" s="6">
        <v>3.54</v>
      </c>
      <c r="U2" s="10">
        <f>100*((((G26*0.001*60)*(C26-D26)*(S2/3.6)))/(((C2/3.6)*E26)+((E2/3.6)*K2)))</f>
        <v>29.363759324841453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590</v>
      </c>
      <c r="B6">
        <v>273.82799999999997</v>
      </c>
      <c r="C6">
        <v>72.123000000000005</v>
      </c>
      <c r="D6">
        <v>57.954000000000001</v>
      </c>
      <c r="E6">
        <v>0.48899999999999999</v>
      </c>
      <c r="F6">
        <v>81.751999999999995</v>
      </c>
      <c r="G6">
        <v>14.465999999999999</v>
      </c>
      <c r="H6">
        <v>97.968999999999994</v>
      </c>
      <c r="I6">
        <v>61.945999999999998</v>
      </c>
      <c r="J6">
        <v>8.0820000000000007</v>
      </c>
      <c r="K6">
        <v>229.68199999999999</v>
      </c>
      <c r="L6">
        <v>11.926</v>
      </c>
      <c r="M6">
        <v>52.368000000000002</v>
      </c>
      <c r="N6">
        <v>11.904999999999999</v>
      </c>
      <c r="O6">
        <v>0.92400000000000004</v>
      </c>
      <c r="P6">
        <v>0</v>
      </c>
      <c r="Q6">
        <v>37.054000000000002</v>
      </c>
      <c r="R6">
        <v>55.6</v>
      </c>
      <c r="S6">
        <v>13.34</v>
      </c>
    </row>
    <row r="7" spans="1:21" x14ac:dyDescent="0.3">
      <c r="A7" t="s">
        <v>591</v>
      </c>
      <c r="B7">
        <v>274.33699999999999</v>
      </c>
      <c r="C7">
        <v>72.119</v>
      </c>
      <c r="D7">
        <v>58.064999999999998</v>
      </c>
      <c r="E7">
        <v>0.53800000000000003</v>
      </c>
      <c r="F7">
        <v>80.819000000000003</v>
      </c>
      <c r="G7">
        <v>14.287000000000001</v>
      </c>
      <c r="H7">
        <v>97.929000000000002</v>
      </c>
      <c r="I7">
        <v>62.015999999999998</v>
      </c>
      <c r="J7">
        <v>7.9109999999999996</v>
      </c>
      <c r="K7">
        <v>230.339</v>
      </c>
      <c r="L7">
        <v>11.334</v>
      </c>
      <c r="M7">
        <v>52.478999999999999</v>
      </c>
      <c r="N7">
        <v>11.4</v>
      </c>
      <c r="O7">
        <v>0.93</v>
      </c>
      <c r="P7">
        <v>0</v>
      </c>
      <c r="Q7">
        <v>37.152999999999999</v>
      </c>
      <c r="R7">
        <v>55.6</v>
      </c>
      <c r="S7">
        <v>13.34</v>
      </c>
    </row>
    <row r="8" spans="1:21" x14ac:dyDescent="0.3">
      <c r="A8" t="s">
        <v>592</v>
      </c>
      <c r="B8">
        <v>275.39999999999998</v>
      </c>
      <c r="C8">
        <v>72.105999999999995</v>
      </c>
      <c r="D8">
        <v>58.118000000000002</v>
      </c>
      <c r="E8">
        <v>0.52500000000000002</v>
      </c>
      <c r="F8">
        <v>81.765000000000001</v>
      </c>
      <c r="G8">
        <v>14.641999999999999</v>
      </c>
      <c r="H8">
        <v>97.95</v>
      </c>
      <c r="I8">
        <v>62.183999999999997</v>
      </c>
      <c r="J8">
        <v>7.9009999999999998</v>
      </c>
      <c r="K8">
        <v>230.02699999999999</v>
      </c>
      <c r="L8">
        <v>11.326000000000001</v>
      </c>
      <c r="M8">
        <v>52.441000000000003</v>
      </c>
      <c r="N8">
        <v>11.398</v>
      </c>
      <c r="O8">
        <v>0.92700000000000005</v>
      </c>
      <c r="P8">
        <v>0</v>
      </c>
      <c r="Q8">
        <v>37.195</v>
      </c>
      <c r="R8">
        <v>55.7</v>
      </c>
      <c r="S8">
        <v>13.34</v>
      </c>
    </row>
    <row r="9" spans="1:21" x14ac:dyDescent="0.3">
      <c r="A9" t="s">
        <v>593</v>
      </c>
      <c r="B9">
        <v>274.72399999999999</v>
      </c>
      <c r="C9">
        <v>72.123000000000005</v>
      </c>
      <c r="D9">
        <v>58.177</v>
      </c>
      <c r="E9">
        <v>0.51</v>
      </c>
      <c r="F9">
        <v>81.275000000000006</v>
      </c>
      <c r="G9">
        <v>14.762</v>
      </c>
      <c r="H9">
        <v>98.11</v>
      </c>
      <c r="I9">
        <v>62.311999999999998</v>
      </c>
      <c r="J9">
        <v>7.9109999999999996</v>
      </c>
      <c r="K9">
        <v>230.38800000000001</v>
      </c>
      <c r="L9">
        <v>11.361000000000001</v>
      </c>
      <c r="M9">
        <v>52.503999999999998</v>
      </c>
      <c r="N9">
        <v>11.4</v>
      </c>
      <c r="O9">
        <v>0.93899999999999995</v>
      </c>
      <c r="P9">
        <v>0</v>
      </c>
      <c r="Q9">
        <v>37.262</v>
      </c>
      <c r="R9">
        <v>55.6</v>
      </c>
      <c r="S9">
        <v>13.34</v>
      </c>
    </row>
    <row r="10" spans="1:21" x14ac:dyDescent="0.3">
      <c r="A10" t="s">
        <v>594</v>
      </c>
      <c r="B10">
        <v>274.839</v>
      </c>
      <c r="C10">
        <v>72.123000000000005</v>
      </c>
      <c r="D10">
        <v>58.308</v>
      </c>
      <c r="E10">
        <v>0.48399999999999999</v>
      </c>
      <c r="F10">
        <v>81.423000000000002</v>
      </c>
      <c r="G10">
        <v>14.132999999999999</v>
      </c>
      <c r="H10">
        <v>97.941000000000003</v>
      </c>
      <c r="I10">
        <v>62.454999999999998</v>
      </c>
      <c r="J10">
        <v>7.9009999999999998</v>
      </c>
      <c r="K10">
        <v>230.10900000000001</v>
      </c>
      <c r="L10">
        <v>11.359</v>
      </c>
      <c r="M10">
        <v>52.404000000000003</v>
      </c>
      <c r="N10">
        <v>11.4</v>
      </c>
      <c r="O10">
        <v>0.93300000000000005</v>
      </c>
      <c r="P10">
        <v>0</v>
      </c>
      <c r="Q10">
        <v>37.229999999999997</v>
      </c>
      <c r="R10">
        <v>55.7</v>
      </c>
      <c r="S10">
        <v>13.34</v>
      </c>
    </row>
    <row r="11" spans="1:21" x14ac:dyDescent="0.3">
      <c r="A11" t="s">
        <v>595</v>
      </c>
      <c r="B11">
        <v>274.358</v>
      </c>
      <c r="C11">
        <v>72.11</v>
      </c>
      <c r="D11">
        <v>58.453000000000003</v>
      </c>
      <c r="E11">
        <v>0.51900000000000002</v>
      </c>
      <c r="F11">
        <v>81.882999999999996</v>
      </c>
      <c r="G11">
        <v>14.207000000000001</v>
      </c>
      <c r="H11">
        <v>98.012</v>
      </c>
      <c r="I11">
        <v>62.335999999999999</v>
      </c>
      <c r="J11">
        <v>7.9109999999999996</v>
      </c>
      <c r="K11">
        <v>230.273</v>
      </c>
      <c r="L11">
        <v>11.372999999999999</v>
      </c>
      <c r="M11">
        <v>52.56</v>
      </c>
      <c r="N11">
        <v>11.397</v>
      </c>
      <c r="O11">
        <v>0.90300000000000002</v>
      </c>
      <c r="P11">
        <v>0</v>
      </c>
      <c r="Q11">
        <v>37.209000000000003</v>
      </c>
      <c r="R11">
        <v>55.7</v>
      </c>
      <c r="S11">
        <v>13.34</v>
      </c>
    </row>
    <row r="12" spans="1:21" x14ac:dyDescent="0.3">
      <c r="A12" t="s">
        <v>596</v>
      </c>
      <c r="B12">
        <v>274.91500000000002</v>
      </c>
      <c r="C12">
        <v>72.135999999999996</v>
      </c>
      <c r="D12">
        <v>58.472999999999999</v>
      </c>
      <c r="E12">
        <v>0.48</v>
      </c>
      <c r="F12">
        <v>82.046999999999997</v>
      </c>
      <c r="G12">
        <v>14.742000000000001</v>
      </c>
      <c r="H12">
        <v>98.207999999999998</v>
      </c>
      <c r="I12">
        <v>62.241999999999997</v>
      </c>
      <c r="J12">
        <v>7.9</v>
      </c>
      <c r="K12">
        <v>230.059</v>
      </c>
      <c r="L12">
        <v>11.379</v>
      </c>
      <c r="M12">
        <v>52.457000000000001</v>
      </c>
      <c r="N12">
        <v>11.397</v>
      </c>
      <c r="O12">
        <v>0.94099999999999995</v>
      </c>
      <c r="P12">
        <v>0</v>
      </c>
      <c r="Q12">
        <v>37.218000000000004</v>
      </c>
      <c r="R12">
        <v>55.6</v>
      </c>
      <c r="S12">
        <v>13.34</v>
      </c>
    </row>
    <row r="13" spans="1:21" x14ac:dyDescent="0.3">
      <c r="A13" t="s">
        <v>597</v>
      </c>
      <c r="B13">
        <v>274.49599999999998</v>
      </c>
      <c r="C13">
        <v>72.123000000000005</v>
      </c>
      <c r="D13">
        <v>58.567999999999998</v>
      </c>
      <c r="E13">
        <v>0.44800000000000001</v>
      </c>
      <c r="F13">
        <v>81.558000000000007</v>
      </c>
      <c r="G13">
        <v>15.333</v>
      </c>
      <c r="H13">
        <v>98.132999999999996</v>
      </c>
      <c r="I13">
        <v>62.209000000000003</v>
      </c>
      <c r="J13">
        <v>7.91</v>
      </c>
      <c r="K13">
        <v>230.339</v>
      </c>
      <c r="L13">
        <v>11.385999999999999</v>
      </c>
      <c r="M13">
        <v>52.451000000000001</v>
      </c>
      <c r="N13">
        <v>11.396000000000001</v>
      </c>
      <c r="O13">
        <v>0.92800000000000005</v>
      </c>
      <c r="P13">
        <v>0</v>
      </c>
      <c r="Q13">
        <v>37.207999999999998</v>
      </c>
      <c r="R13">
        <v>55.6</v>
      </c>
      <c r="S13">
        <v>13.34</v>
      </c>
    </row>
    <row r="14" spans="1:21" x14ac:dyDescent="0.3">
      <c r="A14" t="s">
        <v>598</v>
      </c>
      <c r="B14">
        <v>274.96600000000001</v>
      </c>
      <c r="C14">
        <v>72.093000000000004</v>
      </c>
      <c r="D14">
        <v>58.545000000000002</v>
      </c>
      <c r="E14">
        <v>0.439</v>
      </c>
      <c r="F14">
        <v>81.600999999999999</v>
      </c>
      <c r="G14">
        <v>14.731</v>
      </c>
      <c r="H14">
        <v>98.227999999999994</v>
      </c>
      <c r="I14">
        <v>62.057000000000002</v>
      </c>
      <c r="J14">
        <v>7.9009999999999998</v>
      </c>
      <c r="K14">
        <v>230.142</v>
      </c>
      <c r="L14">
        <v>11.375999999999999</v>
      </c>
      <c r="M14">
        <v>52.421999999999997</v>
      </c>
      <c r="N14">
        <v>11.378</v>
      </c>
      <c r="O14">
        <v>0.93700000000000006</v>
      </c>
      <c r="P14">
        <v>0</v>
      </c>
      <c r="Q14">
        <v>37.234999999999999</v>
      </c>
      <c r="R14">
        <v>55.6</v>
      </c>
      <c r="S14">
        <v>13.34</v>
      </c>
    </row>
    <row r="15" spans="1:21" x14ac:dyDescent="0.3">
      <c r="A15" t="s">
        <v>599</v>
      </c>
      <c r="B15">
        <v>274.62</v>
      </c>
      <c r="C15">
        <v>72.179000000000002</v>
      </c>
      <c r="D15">
        <v>58.676000000000002</v>
      </c>
      <c r="E15">
        <v>0.378</v>
      </c>
      <c r="F15">
        <v>82.152000000000001</v>
      </c>
      <c r="G15">
        <v>15.212999999999999</v>
      </c>
      <c r="H15">
        <v>97.953999999999994</v>
      </c>
      <c r="I15">
        <v>62.031999999999996</v>
      </c>
      <c r="J15">
        <v>7.91</v>
      </c>
      <c r="K15">
        <v>230.273</v>
      </c>
      <c r="L15">
        <v>11.363</v>
      </c>
      <c r="M15">
        <v>52.466999999999999</v>
      </c>
      <c r="N15">
        <v>11.396000000000001</v>
      </c>
      <c r="O15">
        <v>0.90700000000000003</v>
      </c>
      <c r="P15">
        <v>0</v>
      </c>
      <c r="Q15">
        <v>37.206000000000003</v>
      </c>
      <c r="R15">
        <v>55.7</v>
      </c>
      <c r="S15">
        <v>13.34</v>
      </c>
    </row>
    <row r="16" spans="1:21" x14ac:dyDescent="0.3">
      <c r="A16" t="s">
        <v>600</v>
      </c>
      <c r="B16">
        <v>275.178</v>
      </c>
      <c r="C16">
        <v>72.185000000000002</v>
      </c>
      <c r="D16">
        <v>58.841000000000001</v>
      </c>
      <c r="E16">
        <v>0.39100000000000001</v>
      </c>
      <c r="F16">
        <v>80.95</v>
      </c>
      <c r="G16">
        <v>15.348000000000001</v>
      </c>
      <c r="H16">
        <v>97.808999999999997</v>
      </c>
      <c r="I16">
        <v>62.155999999999999</v>
      </c>
      <c r="J16">
        <v>7.9009999999999998</v>
      </c>
      <c r="K16">
        <v>230.142</v>
      </c>
      <c r="L16">
        <v>11.346</v>
      </c>
      <c r="M16">
        <v>52.537999999999997</v>
      </c>
      <c r="N16">
        <v>11.397</v>
      </c>
      <c r="O16">
        <v>0.92100000000000004</v>
      </c>
      <c r="P16">
        <v>0</v>
      </c>
      <c r="Q16">
        <v>37.186999999999998</v>
      </c>
      <c r="R16">
        <v>55.7</v>
      </c>
      <c r="S16">
        <v>13.34</v>
      </c>
    </row>
    <row r="17" spans="1:19" x14ac:dyDescent="0.3">
      <c r="A17" t="s">
        <v>601</v>
      </c>
      <c r="B17">
        <v>275.50099999999998</v>
      </c>
      <c r="C17">
        <v>72.156000000000006</v>
      </c>
      <c r="D17">
        <v>59.018000000000001</v>
      </c>
      <c r="E17">
        <v>0.438</v>
      </c>
      <c r="F17">
        <v>81.534999999999997</v>
      </c>
      <c r="G17">
        <v>15.308999999999999</v>
      </c>
      <c r="H17">
        <v>97.896000000000001</v>
      </c>
      <c r="I17">
        <v>62.335999999999999</v>
      </c>
      <c r="J17">
        <v>7.907</v>
      </c>
      <c r="K17">
        <v>230.24</v>
      </c>
      <c r="L17">
        <v>11.342000000000001</v>
      </c>
      <c r="M17">
        <v>52.567</v>
      </c>
      <c r="N17">
        <v>11.404999999999999</v>
      </c>
      <c r="O17">
        <v>0.93600000000000005</v>
      </c>
      <c r="P17">
        <v>0</v>
      </c>
      <c r="Q17">
        <v>37.171999999999997</v>
      </c>
      <c r="R17">
        <v>55.6</v>
      </c>
      <c r="S17">
        <v>13.34</v>
      </c>
    </row>
    <row r="18" spans="1:19" x14ac:dyDescent="0.3">
      <c r="A18" t="s">
        <v>602</v>
      </c>
      <c r="B18">
        <v>275.17700000000002</v>
      </c>
      <c r="C18">
        <v>72.28</v>
      </c>
      <c r="D18">
        <v>59.146000000000001</v>
      </c>
      <c r="E18">
        <v>0.45400000000000001</v>
      </c>
      <c r="F18">
        <v>82.215000000000003</v>
      </c>
      <c r="G18">
        <v>15.365</v>
      </c>
      <c r="H18">
        <v>97.873000000000005</v>
      </c>
      <c r="I18">
        <v>62.386000000000003</v>
      </c>
      <c r="J18">
        <v>7.9059999999999997</v>
      </c>
      <c r="K18">
        <v>230.20699999999999</v>
      </c>
      <c r="L18">
        <v>11.329000000000001</v>
      </c>
      <c r="M18">
        <v>52.537999999999997</v>
      </c>
      <c r="N18">
        <v>11.404999999999999</v>
      </c>
      <c r="O18">
        <v>0.91200000000000003</v>
      </c>
      <c r="P18">
        <v>0</v>
      </c>
      <c r="Q18">
        <v>37.094000000000001</v>
      </c>
      <c r="R18">
        <v>55.7</v>
      </c>
      <c r="S18">
        <v>13.34</v>
      </c>
    </row>
    <row r="19" spans="1:19" x14ac:dyDescent="0.3">
      <c r="A19" t="s">
        <v>603</v>
      </c>
      <c r="B19">
        <v>275.197</v>
      </c>
      <c r="C19">
        <v>72.296999999999997</v>
      </c>
      <c r="D19">
        <v>59.13</v>
      </c>
      <c r="E19">
        <v>0.48199999999999998</v>
      </c>
      <c r="F19">
        <v>82.113</v>
      </c>
      <c r="G19">
        <v>15.87</v>
      </c>
      <c r="H19">
        <v>98</v>
      </c>
      <c r="I19">
        <v>62.512999999999998</v>
      </c>
      <c r="J19">
        <v>7.9050000000000002</v>
      </c>
      <c r="K19">
        <v>230.22399999999999</v>
      </c>
      <c r="L19">
        <v>11.326000000000001</v>
      </c>
      <c r="M19">
        <v>52.476999999999997</v>
      </c>
      <c r="N19">
        <v>11.406000000000001</v>
      </c>
      <c r="O19">
        <v>0.92800000000000005</v>
      </c>
      <c r="P19">
        <v>0</v>
      </c>
      <c r="Q19">
        <v>37.045999999999999</v>
      </c>
      <c r="R19">
        <v>55.7</v>
      </c>
      <c r="S19">
        <v>13.34</v>
      </c>
    </row>
    <row r="20" spans="1:19" x14ac:dyDescent="0.3">
      <c r="A20" t="s">
        <v>604</v>
      </c>
      <c r="B20">
        <v>275.12299999999999</v>
      </c>
      <c r="C20">
        <v>72.302999999999997</v>
      </c>
      <c r="D20">
        <v>59.625999999999998</v>
      </c>
      <c r="E20">
        <v>0.53100000000000003</v>
      </c>
      <c r="F20">
        <v>81.650000000000006</v>
      </c>
      <c r="G20">
        <v>15.79</v>
      </c>
      <c r="H20">
        <v>97.965000000000003</v>
      </c>
      <c r="I20">
        <v>62.447000000000003</v>
      </c>
      <c r="J20">
        <v>7.907</v>
      </c>
      <c r="K20">
        <v>230.273</v>
      </c>
      <c r="L20">
        <v>11.337</v>
      </c>
      <c r="M20">
        <v>52.582999999999998</v>
      </c>
      <c r="N20">
        <v>11.403</v>
      </c>
      <c r="O20">
        <v>0.91800000000000004</v>
      </c>
      <c r="P20">
        <v>0</v>
      </c>
      <c r="Q20">
        <v>36.988999999999997</v>
      </c>
      <c r="R20">
        <v>55.7</v>
      </c>
      <c r="S20">
        <v>13.34</v>
      </c>
    </row>
    <row r="21" spans="1:19" x14ac:dyDescent="0.3">
      <c r="A21" t="s">
        <v>605</v>
      </c>
      <c r="B21">
        <v>275.39999999999998</v>
      </c>
      <c r="C21">
        <v>72.293999999999997</v>
      </c>
      <c r="D21">
        <v>59.767000000000003</v>
      </c>
      <c r="E21">
        <v>0.49399999999999999</v>
      </c>
      <c r="F21">
        <v>82.063999999999993</v>
      </c>
      <c r="G21">
        <v>15.616</v>
      </c>
      <c r="H21">
        <v>97.944999999999993</v>
      </c>
      <c r="I21">
        <v>62.311999999999998</v>
      </c>
      <c r="J21">
        <v>7.9029999999999996</v>
      </c>
      <c r="K21">
        <v>230.20699999999999</v>
      </c>
      <c r="L21">
        <v>11.333</v>
      </c>
      <c r="M21">
        <v>52.476999999999997</v>
      </c>
      <c r="N21">
        <v>11.401</v>
      </c>
      <c r="O21">
        <v>0.93600000000000005</v>
      </c>
      <c r="P21">
        <v>0</v>
      </c>
      <c r="Q21">
        <v>36.93</v>
      </c>
      <c r="R21">
        <v>55.7</v>
      </c>
      <c r="S21">
        <v>13.34</v>
      </c>
    </row>
    <row r="22" spans="1:19" x14ac:dyDescent="0.3">
      <c r="A22" t="s">
        <v>606</v>
      </c>
      <c r="B22">
        <v>274.83</v>
      </c>
      <c r="C22">
        <v>72.293999999999997</v>
      </c>
      <c r="D22">
        <v>59.78</v>
      </c>
      <c r="E22">
        <v>0.47199999999999998</v>
      </c>
      <c r="F22">
        <v>82.501000000000005</v>
      </c>
      <c r="G22">
        <v>15.91</v>
      </c>
      <c r="H22">
        <v>98.001000000000005</v>
      </c>
      <c r="I22">
        <v>62.216999999999999</v>
      </c>
      <c r="J22">
        <v>7.907</v>
      </c>
      <c r="K22">
        <v>230.273</v>
      </c>
      <c r="L22">
        <v>11.345000000000001</v>
      </c>
      <c r="M22">
        <v>52.569000000000003</v>
      </c>
      <c r="N22">
        <v>11.394</v>
      </c>
      <c r="O22">
        <v>0.91800000000000004</v>
      </c>
      <c r="P22">
        <v>0</v>
      </c>
      <c r="Q22">
        <v>36.951000000000001</v>
      </c>
      <c r="R22">
        <v>55.7</v>
      </c>
      <c r="S22">
        <v>13.34</v>
      </c>
    </row>
    <row r="23" spans="1:19" x14ac:dyDescent="0.3">
      <c r="A23" t="s">
        <v>607</v>
      </c>
      <c r="B23">
        <v>275.82</v>
      </c>
      <c r="C23">
        <v>72.254000000000005</v>
      </c>
      <c r="D23">
        <v>59.77</v>
      </c>
      <c r="E23">
        <v>0.41399999999999998</v>
      </c>
      <c r="F23">
        <v>81.167000000000002</v>
      </c>
      <c r="G23">
        <v>15.981999999999999</v>
      </c>
      <c r="H23">
        <v>97.991</v>
      </c>
      <c r="I23">
        <v>62.164000000000001</v>
      </c>
      <c r="J23">
        <v>7.9020000000000001</v>
      </c>
      <c r="K23">
        <v>230.15799999999999</v>
      </c>
      <c r="L23">
        <v>11.377000000000001</v>
      </c>
      <c r="M23">
        <v>52.594999999999999</v>
      </c>
      <c r="N23">
        <v>11.378</v>
      </c>
      <c r="O23">
        <v>0.91800000000000004</v>
      </c>
      <c r="P23">
        <v>0</v>
      </c>
      <c r="Q23">
        <v>36.994999999999997</v>
      </c>
      <c r="R23">
        <v>55.7</v>
      </c>
      <c r="S23">
        <v>13.34</v>
      </c>
    </row>
    <row r="24" spans="1:19" x14ac:dyDescent="0.3">
      <c r="A24" t="s">
        <v>608</v>
      </c>
      <c r="B24">
        <v>275.90800000000002</v>
      </c>
      <c r="C24">
        <v>72.290000000000006</v>
      </c>
      <c r="D24">
        <v>59.737000000000002</v>
      </c>
      <c r="E24">
        <v>0.42599999999999999</v>
      </c>
      <c r="F24">
        <v>81.298000000000002</v>
      </c>
      <c r="G24">
        <v>15.651999999999999</v>
      </c>
      <c r="H24">
        <v>97.802999999999997</v>
      </c>
      <c r="I24">
        <v>62.262</v>
      </c>
      <c r="J24">
        <v>7.9340000000000002</v>
      </c>
      <c r="K24">
        <v>230.43700000000001</v>
      </c>
      <c r="L24">
        <v>11.545999999999999</v>
      </c>
      <c r="M24">
        <v>52.52</v>
      </c>
      <c r="N24">
        <v>11.403</v>
      </c>
      <c r="O24">
        <v>0.92100000000000004</v>
      </c>
      <c r="P24">
        <v>0</v>
      </c>
      <c r="Q24">
        <v>37.051000000000002</v>
      </c>
      <c r="R24">
        <v>55.7</v>
      </c>
      <c r="S24">
        <v>13.34</v>
      </c>
    </row>
    <row r="25" spans="1:19" ht="15" thickBot="1" x14ac:dyDescent="0.35">
      <c r="A25" t="s">
        <v>609</v>
      </c>
      <c r="B25">
        <v>275.57799999999997</v>
      </c>
      <c r="C25">
        <v>72.271000000000001</v>
      </c>
      <c r="D25">
        <v>59.845999999999997</v>
      </c>
      <c r="E25">
        <v>0.45100000000000001</v>
      </c>
      <c r="F25">
        <v>81.400000000000006</v>
      </c>
      <c r="G25">
        <v>16.405999999999999</v>
      </c>
      <c r="H25">
        <v>98.21</v>
      </c>
      <c r="I25">
        <v>62.311999999999998</v>
      </c>
      <c r="J25">
        <v>7.9009999999999998</v>
      </c>
      <c r="K25">
        <v>230.20699999999999</v>
      </c>
      <c r="L25">
        <v>11.343</v>
      </c>
      <c r="M25">
        <v>52.521999999999998</v>
      </c>
      <c r="N25">
        <v>11.398999999999999</v>
      </c>
      <c r="O25">
        <v>0.92100000000000004</v>
      </c>
      <c r="P25">
        <v>0</v>
      </c>
      <c r="Q25">
        <v>37.113</v>
      </c>
      <c r="R25">
        <v>55.7</v>
      </c>
      <c r="S25">
        <v>13.34</v>
      </c>
    </row>
    <row r="26" spans="1:19" ht="15" thickBot="1" x14ac:dyDescent="0.35">
      <c r="A26" t="s">
        <v>30</v>
      </c>
      <c r="B26" s="1">
        <f t="shared" ref="B26:S26" si="0">AVERAGE(B6:B25)</f>
        <v>275.00975</v>
      </c>
      <c r="C26" s="1">
        <f t="shared" si="0"/>
        <v>72.19295000000001</v>
      </c>
      <c r="D26" s="1">
        <f t="shared" si="0"/>
        <v>58.899900000000017</v>
      </c>
      <c r="E26" s="10">
        <f t="shared" si="0"/>
        <v>0.46814999999999996</v>
      </c>
      <c r="F26" s="1">
        <f t="shared" si="0"/>
        <v>81.6584</v>
      </c>
      <c r="G26" s="1">
        <f t="shared" si="0"/>
        <v>15.1882</v>
      </c>
      <c r="H26" s="10">
        <f t="shared" si="0"/>
        <v>97.996349999999978</v>
      </c>
      <c r="I26" s="1">
        <f t="shared" si="0"/>
        <v>62.244699999999987</v>
      </c>
      <c r="J26" s="8">
        <f t="shared" si="0"/>
        <v>7.9155500000000005</v>
      </c>
      <c r="K26" s="1">
        <f t="shared" si="0"/>
        <v>230.19995000000003</v>
      </c>
      <c r="L26" s="1">
        <f t="shared" si="0"/>
        <v>11.39035</v>
      </c>
      <c r="M26" s="1">
        <f t="shared" si="0"/>
        <v>52.496949999999991</v>
      </c>
      <c r="N26" s="1">
        <f t="shared" si="0"/>
        <v>11.4229</v>
      </c>
      <c r="O26" s="1">
        <f t="shared" si="0"/>
        <v>0.92489999999999983</v>
      </c>
      <c r="P26" s="1">
        <f t="shared" si="0"/>
        <v>0</v>
      </c>
      <c r="Q26" s="1">
        <f t="shared" si="0"/>
        <v>37.124900000000004</v>
      </c>
      <c r="R26" s="1">
        <f t="shared" si="0"/>
        <v>55.66500000000002</v>
      </c>
      <c r="S26" s="1">
        <f t="shared" si="0"/>
        <v>13.34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9DD4-C3FE-4F91-A21D-0A5998AF167C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0.64599537037037036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2.7580855548076224</v>
      </c>
      <c r="M2" s="8">
        <f>100*(R26/(R26+Q26))</f>
        <v>59.94602939317739</v>
      </c>
      <c r="O2" s="9">
        <f>100*((E26*C2)/((E26*C2)+(K2*E2)))</f>
        <v>12.958412449413764</v>
      </c>
      <c r="Q2" s="10">
        <f>100*J26*(1/(((C2/3.6)*E26)+((E2/3.6)*K2)))</f>
        <v>22.792772477952226</v>
      </c>
      <c r="S2" s="6">
        <v>3.54</v>
      </c>
      <c r="U2" s="10">
        <f>100*((((G26*0.001*60)*(C26-D26)*(S2/3.6)))/(((C2/3.6)*E26)+((E2/3.6)*K2)))</f>
        <v>27.079473729593357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610</v>
      </c>
      <c r="B6">
        <v>313.51900000000001</v>
      </c>
      <c r="C6">
        <v>73.227000000000004</v>
      </c>
      <c r="D6">
        <v>63.887</v>
      </c>
      <c r="E6">
        <v>0.47499999999999998</v>
      </c>
      <c r="F6">
        <v>82.376000000000005</v>
      </c>
      <c r="G6">
        <v>20.78</v>
      </c>
      <c r="H6">
        <v>107.157</v>
      </c>
      <c r="I6">
        <v>62.579000000000001</v>
      </c>
      <c r="J6">
        <v>10.038</v>
      </c>
      <c r="K6">
        <v>230.125</v>
      </c>
      <c r="L6">
        <v>14.576000000000001</v>
      </c>
      <c r="M6">
        <v>52.457000000000001</v>
      </c>
      <c r="N6">
        <v>14.398999999999999</v>
      </c>
      <c r="O6">
        <v>0.96299999999999997</v>
      </c>
      <c r="P6">
        <v>0</v>
      </c>
      <c r="Q6">
        <v>40.619</v>
      </c>
      <c r="R6">
        <v>60.9</v>
      </c>
      <c r="S6">
        <v>17.34</v>
      </c>
    </row>
    <row r="7" spans="1:21" x14ac:dyDescent="0.3">
      <c r="A7" t="s">
        <v>611</v>
      </c>
      <c r="B7">
        <v>313.53100000000001</v>
      </c>
      <c r="C7">
        <v>73.266000000000005</v>
      </c>
      <c r="D7">
        <v>63.89</v>
      </c>
      <c r="E7">
        <v>0.44500000000000001</v>
      </c>
      <c r="F7">
        <v>82.644999999999996</v>
      </c>
      <c r="G7">
        <v>21.181000000000001</v>
      </c>
      <c r="H7">
        <v>107.099</v>
      </c>
      <c r="I7">
        <v>62.566000000000003</v>
      </c>
      <c r="J7">
        <v>10.039</v>
      </c>
      <c r="K7">
        <v>229.78</v>
      </c>
      <c r="L7">
        <v>14.558999999999999</v>
      </c>
      <c r="M7">
        <v>52.554000000000002</v>
      </c>
      <c r="N7">
        <v>14.398</v>
      </c>
      <c r="O7">
        <v>0.93600000000000005</v>
      </c>
      <c r="P7">
        <v>0</v>
      </c>
      <c r="Q7">
        <v>40.631</v>
      </c>
      <c r="R7">
        <v>60.9</v>
      </c>
      <c r="S7">
        <v>17.34</v>
      </c>
    </row>
    <row r="8" spans="1:21" x14ac:dyDescent="0.3">
      <c r="A8" t="s">
        <v>612</v>
      </c>
      <c r="B8">
        <v>313.54700000000003</v>
      </c>
      <c r="C8">
        <v>73.347999999999999</v>
      </c>
      <c r="D8">
        <v>63.787999999999997</v>
      </c>
      <c r="E8">
        <v>0.45400000000000001</v>
      </c>
      <c r="F8">
        <v>82.905000000000001</v>
      </c>
      <c r="G8">
        <v>21.361999999999998</v>
      </c>
      <c r="H8">
        <v>107.21299999999999</v>
      </c>
      <c r="I8">
        <v>62.529000000000003</v>
      </c>
      <c r="J8">
        <v>10.042999999999999</v>
      </c>
      <c r="K8">
        <v>230.125</v>
      </c>
      <c r="L8">
        <v>14.58</v>
      </c>
      <c r="M8">
        <v>52.445</v>
      </c>
      <c r="N8">
        <v>14.398999999999999</v>
      </c>
      <c r="O8">
        <v>0.95099999999999996</v>
      </c>
      <c r="P8">
        <v>0</v>
      </c>
      <c r="Q8">
        <v>40.651000000000003</v>
      </c>
      <c r="R8">
        <v>60.9</v>
      </c>
      <c r="S8">
        <v>17.34</v>
      </c>
    </row>
    <row r="9" spans="1:21" x14ac:dyDescent="0.3">
      <c r="A9" t="s">
        <v>613</v>
      </c>
      <c r="B9">
        <v>313.24599999999998</v>
      </c>
      <c r="C9">
        <v>73.370999999999995</v>
      </c>
      <c r="D9">
        <v>63.88</v>
      </c>
      <c r="E9">
        <v>0.42799999999999999</v>
      </c>
      <c r="F9">
        <v>81.515000000000001</v>
      </c>
      <c r="G9">
        <v>20.824999999999999</v>
      </c>
      <c r="H9">
        <v>107.298</v>
      </c>
      <c r="I9">
        <v>62.591000000000001</v>
      </c>
      <c r="J9">
        <v>10.035</v>
      </c>
      <c r="K9">
        <v>229.68199999999999</v>
      </c>
      <c r="L9">
        <v>14.555999999999999</v>
      </c>
      <c r="M9">
        <v>52.502000000000002</v>
      </c>
      <c r="N9">
        <v>14.404</v>
      </c>
      <c r="O9">
        <v>0.92800000000000005</v>
      </c>
      <c r="P9">
        <v>0</v>
      </c>
      <c r="Q9">
        <v>40.716999999999999</v>
      </c>
      <c r="R9">
        <v>60.9</v>
      </c>
      <c r="S9">
        <v>17.34</v>
      </c>
    </row>
    <row r="10" spans="1:21" x14ac:dyDescent="0.3">
      <c r="A10" t="s">
        <v>614</v>
      </c>
      <c r="B10">
        <v>313.721</v>
      </c>
      <c r="C10">
        <v>73.289000000000001</v>
      </c>
      <c r="D10">
        <v>63.969000000000001</v>
      </c>
      <c r="E10">
        <v>0.41</v>
      </c>
      <c r="F10">
        <v>83.394000000000005</v>
      </c>
      <c r="G10">
        <v>21.478000000000002</v>
      </c>
      <c r="H10">
        <v>107.33799999999999</v>
      </c>
      <c r="I10">
        <v>62.579000000000001</v>
      </c>
      <c r="J10">
        <v>10.045</v>
      </c>
      <c r="K10">
        <v>230.125</v>
      </c>
      <c r="L10">
        <v>14.577</v>
      </c>
      <c r="M10">
        <v>52.43</v>
      </c>
      <c r="N10">
        <v>14.398999999999999</v>
      </c>
      <c r="O10">
        <v>0.93500000000000005</v>
      </c>
      <c r="P10">
        <v>0</v>
      </c>
      <c r="Q10">
        <v>40.68</v>
      </c>
      <c r="R10">
        <v>60.9</v>
      </c>
      <c r="S10">
        <v>17.34</v>
      </c>
    </row>
    <row r="11" spans="1:21" x14ac:dyDescent="0.3">
      <c r="A11" t="s">
        <v>615</v>
      </c>
      <c r="B11">
        <v>313.37599999999998</v>
      </c>
      <c r="C11">
        <v>73.391000000000005</v>
      </c>
      <c r="D11">
        <v>64.081000000000003</v>
      </c>
      <c r="E11">
        <v>0.41099999999999998</v>
      </c>
      <c r="F11">
        <v>83.48</v>
      </c>
      <c r="G11">
        <v>21.751000000000001</v>
      </c>
      <c r="H11">
        <v>107.309</v>
      </c>
      <c r="I11">
        <v>62.689</v>
      </c>
      <c r="J11">
        <v>10.032</v>
      </c>
      <c r="K11">
        <v>229.73099999999999</v>
      </c>
      <c r="L11">
        <v>14.555999999999999</v>
      </c>
      <c r="M11">
        <v>52.436999999999998</v>
      </c>
      <c r="N11">
        <v>14.404999999999999</v>
      </c>
      <c r="O11">
        <v>0.94599999999999995</v>
      </c>
      <c r="P11">
        <v>0</v>
      </c>
      <c r="Q11">
        <v>40.633000000000003</v>
      </c>
      <c r="R11">
        <v>61</v>
      </c>
      <c r="S11">
        <v>17.34</v>
      </c>
    </row>
    <row r="12" spans="1:21" x14ac:dyDescent="0.3">
      <c r="A12" t="s">
        <v>616</v>
      </c>
      <c r="B12">
        <v>314.00400000000002</v>
      </c>
      <c r="C12">
        <v>73.325000000000003</v>
      </c>
      <c r="D12">
        <v>64.231999999999999</v>
      </c>
      <c r="E12">
        <v>0.44800000000000001</v>
      </c>
      <c r="F12">
        <v>83.216999999999999</v>
      </c>
      <c r="G12">
        <v>22.15</v>
      </c>
      <c r="H12">
        <v>107.36799999999999</v>
      </c>
      <c r="I12">
        <v>62.454999999999998</v>
      </c>
      <c r="J12">
        <v>10.036</v>
      </c>
      <c r="K12">
        <v>230.15799999999999</v>
      </c>
      <c r="L12">
        <v>14.584</v>
      </c>
      <c r="M12">
        <v>52.4</v>
      </c>
      <c r="N12">
        <v>14.398</v>
      </c>
      <c r="O12">
        <v>0.93400000000000005</v>
      </c>
      <c r="P12">
        <v>0</v>
      </c>
      <c r="Q12">
        <v>40.609000000000002</v>
      </c>
      <c r="R12">
        <v>61.1</v>
      </c>
      <c r="S12">
        <v>17.34</v>
      </c>
    </row>
    <row r="13" spans="1:21" x14ac:dyDescent="0.3">
      <c r="A13" t="s">
        <v>617</v>
      </c>
      <c r="B13">
        <v>313.41300000000001</v>
      </c>
      <c r="C13">
        <v>73.355000000000004</v>
      </c>
      <c r="D13">
        <v>64.254999999999995</v>
      </c>
      <c r="E13">
        <v>0.39400000000000002</v>
      </c>
      <c r="F13">
        <v>83.686999999999998</v>
      </c>
      <c r="G13">
        <v>22.337</v>
      </c>
      <c r="H13">
        <v>107.126</v>
      </c>
      <c r="I13">
        <v>62.372999999999998</v>
      </c>
      <c r="J13">
        <v>10.034000000000001</v>
      </c>
      <c r="K13">
        <v>229.714</v>
      </c>
      <c r="L13">
        <v>14.56</v>
      </c>
      <c r="M13">
        <v>52.545999999999999</v>
      </c>
      <c r="N13">
        <v>14.401999999999999</v>
      </c>
      <c r="O13">
        <v>0.93400000000000005</v>
      </c>
      <c r="P13">
        <v>0</v>
      </c>
      <c r="Q13">
        <v>40.625</v>
      </c>
      <c r="R13">
        <v>61</v>
      </c>
      <c r="S13">
        <v>17.34</v>
      </c>
    </row>
    <row r="14" spans="1:21" x14ac:dyDescent="0.3">
      <c r="A14" t="s">
        <v>618</v>
      </c>
      <c r="B14">
        <v>314.13900000000001</v>
      </c>
      <c r="C14">
        <v>73.414000000000001</v>
      </c>
      <c r="D14">
        <v>64.424999999999997</v>
      </c>
      <c r="E14">
        <v>0.39600000000000002</v>
      </c>
      <c r="F14">
        <v>82.454999999999998</v>
      </c>
      <c r="G14">
        <v>22.283000000000001</v>
      </c>
      <c r="H14">
        <v>107.271</v>
      </c>
      <c r="I14">
        <v>62.808999999999997</v>
      </c>
      <c r="J14">
        <v>10.045</v>
      </c>
      <c r="K14">
        <v>230.07599999999999</v>
      </c>
      <c r="L14">
        <v>14.574</v>
      </c>
      <c r="M14">
        <v>52.451000000000001</v>
      </c>
      <c r="N14">
        <v>14.4</v>
      </c>
      <c r="O14">
        <v>0.94199999999999995</v>
      </c>
      <c r="P14">
        <v>0</v>
      </c>
      <c r="Q14">
        <v>40.637999999999998</v>
      </c>
      <c r="R14">
        <v>61</v>
      </c>
      <c r="S14">
        <v>17.34</v>
      </c>
    </row>
    <row r="15" spans="1:21" x14ac:dyDescent="0.3">
      <c r="A15" t="s">
        <v>619</v>
      </c>
      <c r="B15">
        <v>314.04300000000001</v>
      </c>
      <c r="C15">
        <v>73.414000000000001</v>
      </c>
      <c r="D15">
        <v>64.444999999999993</v>
      </c>
      <c r="E15">
        <v>0.38200000000000001</v>
      </c>
      <c r="F15">
        <v>82.805999999999997</v>
      </c>
      <c r="G15">
        <v>22.032</v>
      </c>
      <c r="H15">
        <v>107.324</v>
      </c>
      <c r="I15">
        <v>62.356999999999999</v>
      </c>
      <c r="J15">
        <v>10.034000000000001</v>
      </c>
      <c r="K15">
        <v>229.76400000000001</v>
      </c>
      <c r="L15">
        <v>14.555999999999999</v>
      </c>
      <c r="M15">
        <v>52.482999999999997</v>
      </c>
      <c r="N15">
        <v>14.417</v>
      </c>
      <c r="O15">
        <v>0.94799999999999995</v>
      </c>
      <c r="P15">
        <v>0</v>
      </c>
      <c r="Q15">
        <v>40.734999999999999</v>
      </c>
      <c r="R15">
        <v>60.9</v>
      </c>
      <c r="S15">
        <v>17.34</v>
      </c>
    </row>
    <row r="16" spans="1:21" x14ac:dyDescent="0.3">
      <c r="A16" t="s">
        <v>620</v>
      </c>
      <c r="B16">
        <v>314.642</v>
      </c>
      <c r="C16">
        <v>73.381</v>
      </c>
      <c r="D16">
        <v>64.474999999999994</v>
      </c>
      <c r="E16">
        <v>0.45100000000000001</v>
      </c>
      <c r="F16">
        <v>82.096999999999994</v>
      </c>
      <c r="G16">
        <v>22.456</v>
      </c>
      <c r="H16">
        <v>107.372</v>
      </c>
      <c r="I16">
        <v>62.874000000000002</v>
      </c>
      <c r="J16">
        <v>10.034000000000001</v>
      </c>
      <c r="K16">
        <v>230.01</v>
      </c>
      <c r="L16">
        <v>14.573</v>
      </c>
      <c r="M16">
        <v>52.515999999999998</v>
      </c>
      <c r="N16">
        <v>14.406000000000001</v>
      </c>
      <c r="O16">
        <v>0.93799999999999994</v>
      </c>
      <c r="P16">
        <v>0</v>
      </c>
      <c r="Q16">
        <v>40.759</v>
      </c>
      <c r="R16">
        <v>60.9</v>
      </c>
      <c r="S16">
        <v>17.34</v>
      </c>
    </row>
    <row r="17" spans="1:19" x14ac:dyDescent="0.3">
      <c r="A17" t="s">
        <v>621</v>
      </c>
      <c r="B17">
        <v>314.85599999999999</v>
      </c>
      <c r="C17">
        <v>73.492999999999995</v>
      </c>
      <c r="D17">
        <v>64.596000000000004</v>
      </c>
      <c r="E17">
        <v>0.44800000000000001</v>
      </c>
      <c r="F17">
        <v>81.242000000000004</v>
      </c>
      <c r="G17">
        <v>22.792000000000002</v>
      </c>
      <c r="H17">
        <v>107.541</v>
      </c>
      <c r="I17">
        <v>62.738999999999997</v>
      </c>
      <c r="J17">
        <v>10.032999999999999</v>
      </c>
      <c r="K17">
        <v>229.81299999999999</v>
      </c>
      <c r="L17">
        <v>14.558999999999999</v>
      </c>
      <c r="M17">
        <v>52.421999999999997</v>
      </c>
      <c r="N17">
        <v>14.404999999999999</v>
      </c>
      <c r="O17">
        <v>0.96099999999999997</v>
      </c>
      <c r="P17">
        <v>0</v>
      </c>
      <c r="Q17">
        <v>40.801000000000002</v>
      </c>
      <c r="R17">
        <v>60.9</v>
      </c>
      <c r="S17">
        <v>17.34</v>
      </c>
    </row>
    <row r="18" spans="1:19" x14ac:dyDescent="0.3">
      <c r="A18" t="s">
        <v>622</v>
      </c>
      <c r="B18">
        <v>314.83100000000002</v>
      </c>
      <c r="C18">
        <v>73.495999999999995</v>
      </c>
      <c r="D18">
        <v>64.635999999999996</v>
      </c>
      <c r="E18">
        <v>0.48499999999999999</v>
      </c>
      <c r="F18">
        <v>82.855000000000004</v>
      </c>
      <c r="G18">
        <v>22.899000000000001</v>
      </c>
      <c r="H18">
        <v>107.395</v>
      </c>
      <c r="I18">
        <v>62.817</v>
      </c>
      <c r="J18">
        <v>10.039</v>
      </c>
      <c r="K18">
        <v>230.09200000000001</v>
      </c>
      <c r="L18">
        <v>14.574999999999999</v>
      </c>
      <c r="M18">
        <v>52.326999999999998</v>
      </c>
      <c r="N18">
        <v>14.401999999999999</v>
      </c>
      <c r="O18">
        <v>0.93700000000000006</v>
      </c>
      <c r="P18">
        <v>0</v>
      </c>
      <c r="Q18">
        <v>40.83</v>
      </c>
      <c r="R18">
        <v>60.9</v>
      </c>
      <c r="S18">
        <v>17.34</v>
      </c>
    </row>
    <row r="19" spans="1:19" x14ac:dyDescent="0.3">
      <c r="A19" t="s">
        <v>623</v>
      </c>
      <c r="B19">
        <v>314.29899999999998</v>
      </c>
      <c r="C19">
        <v>73.475999999999999</v>
      </c>
      <c r="D19">
        <v>64.691999999999993</v>
      </c>
      <c r="E19">
        <v>0.53600000000000003</v>
      </c>
      <c r="F19">
        <v>83.608000000000004</v>
      </c>
      <c r="G19">
        <v>22.198</v>
      </c>
      <c r="H19">
        <v>107.363</v>
      </c>
      <c r="I19">
        <v>62.874000000000002</v>
      </c>
      <c r="J19">
        <v>10.031000000000001</v>
      </c>
      <c r="K19">
        <v>229.91200000000001</v>
      </c>
      <c r="L19">
        <v>14.564</v>
      </c>
      <c r="M19">
        <v>52.445</v>
      </c>
      <c r="N19">
        <v>14.404999999999999</v>
      </c>
      <c r="O19">
        <v>0.94399999999999995</v>
      </c>
      <c r="P19">
        <v>0</v>
      </c>
      <c r="Q19">
        <v>40.756</v>
      </c>
      <c r="R19">
        <v>60.9</v>
      </c>
      <c r="S19">
        <v>17.34</v>
      </c>
    </row>
    <row r="20" spans="1:19" x14ac:dyDescent="0.3">
      <c r="A20" t="s">
        <v>624</v>
      </c>
      <c r="B20">
        <v>315.61700000000002</v>
      </c>
      <c r="C20">
        <v>73.600999999999999</v>
      </c>
      <c r="D20">
        <v>64.813000000000002</v>
      </c>
      <c r="E20">
        <v>0.57999999999999996</v>
      </c>
      <c r="F20">
        <v>82.900999999999996</v>
      </c>
      <c r="G20">
        <v>23.582000000000001</v>
      </c>
      <c r="H20">
        <v>107.453</v>
      </c>
      <c r="I20">
        <v>62.832999999999998</v>
      </c>
      <c r="J20">
        <v>10.042</v>
      </c>
      <c r="K20">
        <v>230.059</v>
      </c>
      <c r="L20">
        <v>14.571999999999999</v>
      </c>
      <c r="M20">
        <v>52.427999999999997</v>
      </c>
      <c r="N20">
        <v>14.406000000000001</v>
      </c>
      <c r="O20">
        <v>0.93300000000000005</v>
      </c>
      <c r="P20">
        <v>0</v>
      </c>
      <c r="Q20">
        <v>40.732999999999997</v>
      </c>
      <c r="R20">
        <v>60.9</v>
      </c>
      <c r="S20">
        <v>17.34</v>
      </c>
    </row>
    <row r="21" spans="1:19" x14ac:dyDescent="0.3">
      <c r="A21" t="s">
        <v>625</v>
      </c>
      <c r="B21">
        <v>315.55900000000003</v>
      </c>
      <c r="C21">
        <v>73.472999999999999</v>
      </c>
      <c r="D21">
        <v>64.902000000000001</v>
      </c>
      <c r="E21">
        <v>0.61099999999999999</v>
      </c>
      <c r="F21">
        <v>83.876999999999995</v>
      </c>
      <c r="G21">
        <v>23.77</v>
      </c>
      <c r="H21">
        <v>107.419</v>
      </c>
      <c r="I21">
        <v>62.78</v>
      </c>
      <c r="J21">
        <v>10.032</v>
      </c>
      <c r="K21">
        <v>230.01</v>
      </c>
      <c r="L21">
        <v>14.568</v>
      </c>
      <c r="M21">
        <v>52.554000000000002</v>
      </c>
      <c r="N21">
        <v>14.403</v>
      </c>
      <c r="O21">
        <v>0.95299999999999996</v>
      </c>
      <c r="P21">
        <v>0</v>
      </c>
      <c r="Q21">
        <v>40.767000000000003</v>
      </c>
      <c r="R21">
        <v>60.9</v>
      </c>
      <c r="S21">
        <v>17.34</v>
      </c>
    </row>
    <row r="22" spans="1:19" x14ac:dyDescent="0.3">
      <c r="A22" t="s">
        <v>626</v>
      </c>
      <c r="B22">
        <v>316.459</v>
      </c>
      <c r="C22">
        <v>73.631</v>
      </c>
      <c r="D22">
        <v>64.977000000000004</v>
      </c>
      <c r="E22">
        <v>0.57699999999999996</v>
      </c>
      <c r="F22">
        <v>82.908000000000001</v>
      </c>
      <c r="G22">
        <v>24.21</v>
      </c>
      <c r="H22">
        <v>107.608</v>
      </c>
      <c r="I22">
        <v>62.771999999999998</v>
      </c>
      <c r="J22">
        <v>10.042</v>
      </c>
      <c r="K22">
        <v>230.10900000000001</v>
      </c>
      <c r="L22">
        <v>14.548</v>
      </c>
      <c r="M22">
        <v>52.536000000000001</v>
      </c>
      <c r="N22">
        <v>14.404</v>
      </c>
      <c r="O22">
        <v>0.95199999999999996</v>
      </c>
      <c r="P22">
        <v>0</v>
      </c>
      <c r="Q22">
        <v>40.823</v>
      </c>
      <c r="R22">
        <v>61</v>
      </c>
      <c r="S22">
        <v>17.34</v>
      </c>
    </row>
    <row r="23" spans="1:19" x14ac:dyDescent="0.3">
      <c r="A23" t="s">
        <v>627</v>
      </c>
      <c r="B23">
        <v>316.07600000000002</v>
      </c>
      <c r="C23">
        <v>73.597999999999999</v>
      </c>
      <c r="D23">
        <v>65.052999999999997</v>
      </c>
      <c r="E23">
        <v>0.56100000000000005</v>
      </c>
      <c r="F23">
        <v>82.921000000000006</v>
      </c>
      <c r="G23">
        <v>23.898</v>
      </c>
      <c r="H23">
        <v>107.532</v>
      </c>
      <c r="I23">
        <v>62.71</v>
      </c>
      <c r="J23">
        <v>10.034000000000001</v>
      </c>
      <c r="K23">
        <v>229.94399999999999</v>
      </c>
      <c r="L23">
        <v>14.456</v>
      </c>
      <c r="M23">
        <v>52.405999999999999</v>
      </c>
      <c r="N23">
        <v>14.398999999999999</v>
      </c>
      <c r="O23">
        <v>0.95299999999999996</v>
      </c>
      <c r="P23">
        <v>0</v>
      </c>
      <c r="Q23">
        <v>40.838999999999999</v>
      </c>
      <c r="R23">
        <v>61</v>
      </c>
      <c r="S23">
        <v>17.34</v>
      </c>
    </row>
    <row r="24" spans="1:19" x14ac:dyDescent="0.3">
      <c r="A24" t="s">
        <v>628</v>
      </c>
      <c r="B24">
        <v>315.39499999999998</v>
      </c>
      <c r="C24">
        <v>73.634</v>
      </c>
      <c r="D24">
        <v>65.216999999999999</v>
      </c>
      <c r="E24">
        <v>0.57599999999999996</v>
      </c>
      <c r="F24">
        <v>82.168999999999997</v>
      </c>
      <c r="G24">
        <v>24.245999999999999</v>
      </c>
      <c r="H24">
        <v>107.54900000000001</v>
      </c>
      <c r="I24">
        <v>62.706000000000003</v>
      </c>
      <c r="J24">
        <v>10.039</v>
      </c>
      <c r="K24">
        <v>229.94399999999999</v>
      </c>
      <c r="L24">
        <v>14.426</v>
      </c>
      <c r="M24">
        <v>52.415999999999997</v>
      </c>
      <c r="N24">
        <v>14.403</v>
      </c>
      <c r="O24">
        <v>0.92600000000000005</v>
      </c>
      <c r="P24">
        <v>0</v>
      </c>
      <c r="Q24">
        <v>40.813000000000002</v>
      </c>
      <c r="R24">
        <v>61</v>
      </c>
      <c r="S24">
        <v>17.34</v>
      </c>
    </row>
    <row r="25" spans="1:19" ht="15" thickBot="1" x14ac:dyDescent="0.35">
      <c r="A25" t="s">
        <v>629</v>
      </c>
      <c r="B25">
        <v>315.82400000000001</v>
      </c>
      <c r="C25">
        <v>73.597999999999999</v>
      </c>
      <c r="D25">
        <v>65.197000000000003</v>
      </c>
      <c r="E25">
        <v>0.55400000000000005</v>
      </c>
      <c r="F25">
        <v>83.45</v>
      </c>
      <c r="G25">
        <v>24.488</v>
      </c>
      <c r="H25">
        <v>107.374</v>
      </c>
      <c r="I25">
        <v>62.668999999999997</v>
      </c>
      <c r="J25">
        <v>10.034000000000001</v>
      </c>
      <c r="K25">
        <v>230.02699999999999</v>
      </c>
      <c r="L25">
        <v>14.411</v>
      </c>
      <c r="M25">
        <v>52.366</v>
      </c>
      <c r="N25">
        <v>14.401</v>
      </c>
      <c r="O25">
        <v>0.93100000000000005</v>
      </c>
      <c r="P25">
        <v>0</v>
      </c>
      <c r="Q25">
        <v>40.770000000000003</v>
      </c>
      <c r="R25">
        <v>61</v>
      </c>
      <c r="S25">
        <v>17.34</v>
      </c>
    </row>
    <row r="26" spans="1:19" ht="15" thickBot="1" x14ac:dyDescent="0.35">
      <c r="A26" t="s">
        <v>30</v>
      </c>
      <c r="B26" s="1">
        <f t="shared" ref="B26:S26" si="0">AVERAGE(B6:B25)</f>
        <v>314.50485000000003</v>
      </c>
      <c r="C26" s="1">
        <f t="shared" si="0"/>
        <v>73.43904999999998</v>
      </c>
      <c r="D26" s="1">
        <f t="shared" si="0"/>
        <v>64.470500000000015</v>
      </c>
      <c r="E26" s="10">
        <f t="shared" si="0"/>
        <v>0.48110000000000008</v>
      </c>
      <c r="F26" s="1">
        <f t="shared" si="0"/>
        <v>82.825400000000002</v>
      </c>
      <c r="G26" s="1">
        <f t="shared" si="0"/>
        <v>22.535899999999998</v>
      </c>
      <c r="H26" s="10">
        <f t="shared" si="0"/>
        <v>107.35544999999999</v>
      </c>
      <c r="I26" s="1">
        <f t="shared" si="0"/>
        <v>62.665049999999994</v>
      </c>
      <c r="J26" s="8">
        <f t="shared" si="0"/>
        <v>10.037050000000001</v>
      </c>
      <c r="K26" s="1">
        <f t="shared" si="0"/>
        <v>229.96000000000004</v>
      </c>
      <c r="L26" s="1">
        <f t="shared" si="0"/>
        <v>14.5465</v>
      </c>
      <c r="M26" s="1">
        <f t="shared" si="0"/>
        <v>52.456049999999991</v>
      </c>
      <c r="N26" s="1">
        <f t="shared" si="0"/>
        <v>14.402750000000001</v>
      </c>
      <c r="O26" s="1">
        <f t="shared" si="0"/>
        <v>0.94224999999999981</v>
      </c>
      <c r="P26" s="1">
        <f t="shared" si="0"/>
        <v>0</v>
      </c>
      <c r="Q26" s="1">
        <f t="shared" si="0"/>
        <v>40.721449999999997</v>
      </c>
      <c r="R26" s="1">
        <f t="shared" si="0"/>
        <v>60.944999999999993</v>
      </c>
      <c r="S26" s="1">
        <f t="shared" si="0"/>
        <v>17.339999999999996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DAA2-F8DE-4D51-B7A9-666378F5ECF0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0.64670138888888884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3.0281276501686616</v>
      </c>
      <c r="M2" s="8">
        <f>100*(R26/(R26+Q26))</f>
        <v>59.997819244178871</v>
      </c>
      <c r="O2" s="9">
        <f>100*((E26*C2)/((E26*C2)+(K2*E2)))</f>
        <v>12.501096186559321</v>
      </c>
      <c r="Q2" s="10">
        <f>100*J26*(1/(((C2/3.6)*E26)+((E2/3.6)*K2)))</f>
        <v>24.449131420525529</v>
      </c>
      <c r="S2" s="6">
        <v>3.54</v>
      </c>
      <c r="U2" s="10">
        <f>100*((((G26*0.001*60)*(C26-D26)*(S2/3.6)))/(((C2/3.6)*E26)+((E2/3.6)*K2)))</f>
        <v>71.553888108735634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630</v>
      </c>
      <c r="B6">
        <v>347.17399999999998</v>
      </c>
      <c r="C6">
        <v>75.135000000000005</v>
      </c>
      <c r="D6">
        <v>61.764000000000003</v>
      </c>
      <c r="E6">
        <v>0.47399999999999998</v>
      </c>
      <c r="F6">
        <v>85.296000000000006</v>
      </c>
      <c r="G6">
        <v>33.677999999999997</v>
      </c>
      <c r="H6">
        <v>117.47</v>
      </c>
      <c r="I6">
        <v>62.643999999999998</v>
      </c>
      <c r="J6">
        <v>11.754</v>
      </c>
      <c r="K6">
        <v>230.09200000000001</v>
      </c>
      <c r="L6">
        <v>17.047999999999998</v>
      </c>
      <c r="M6">
        <v>52.411999999999999</v>
      </c>
      <c r="N6">
        <v>16.937000000000001</v>
      </c>
      <c r="O6">
        <v>0.94099999999999995</v>
      </c>
      <c r="P6">
        <v>0</v>
      </c>
      <c r="Q6">
        <v>44.436</v>
      </c>
      <c r="R6">
        <v>66.599999999999994</v>
      </c>
      <c r="S6">
        <v>20.239999999999998</v>
      </c>
    </row>
    <row r="7" spans="1:21" x14ac:dyDescent="0.3">
      <c r="A7" t="s">
        <v>631</v>
      </c>
      <c r="B7">
        <v>347.21</v>
      </c>
      <c r="C7">
        <v>75.194000000000003</v>
      </c>
      <c r="D7">
        <v>61.863</v>
      </c>
      <c r="E7">
        <v>0.40799999999999997</v>
      </c>
      <c r="F7">
        <v>83.712999999999994</v>
      </c>
      <c r="G7">
        <v>32.862000000000002</v>
      </c>
      <c r="H7">
        <v>117.42</v>
      </c>
      <c r="I7">
        <v>62.878</v>
      </c>
      <c r="J7">
        <v>11.762</v>
      </c>
      <c r="K7">
        <v>229.94399999999999</v>
      </c>
      <c r="L7">
        <v>17.038</v>
      </c>
      <c r="M7">
        <v>52.415999999999997</v>
      </c>
      <c r="N7">
        <v>16.942</v>
      </c>
      <c r="O7">
        <v>0.96199999999999997</v>
      </c>
      <c r="P7">
        <v>0</v>
      </c>
      <c r="Q7">
        <v>44.307000000000002</v>
      </c>
      <c r="R7">
        <v>66.599999999999994</v>
      </c>
      <c r="S7">
        <v>20.239999999999998</v>
      </c>
    </row>
    <row r="8" spans="1:21" x14ac:dyDescent="0.3">
      <c r="A8" t="s">
        <v>632</v>
      </c>
      <c r="B8">
        <v>347.99099999999999</v>
      </c>
      <c r="C8">
        <v>75.185000000000002</v>
      </c>
      <c r="D8">
        <v>61.918999999999997</v>
      </c>
      <c r="E8">
        <v>0.42</v>
      </c>
      <c r="F8">
        <v>85.03</v>
      </c>
      <c r="G8">
        <v>33.887999999999998</v>
      </c>
      <c r="H8">
        <v>117.48399999999999</v>
      </c>
      <c r="I8">
        <v>63.075000000000003</v>
      </c>
      <c r="J8">
        <v>11.756</v>
      </c>
      <c r="K8">
        <v>230.15799999999999</v>
      </c>
      <c r="L8">
        <v>17.033000000000001</v>
      </c>
      <c r="M8">
        <v>52.441000000000003</v>
      </c>
      <c r="N8">
        <v>16.943000000000001</v>
      </c>
      <c r="O8">
        <v>0.999</v>
      </c>
      <c r="P8">
        <v>0</v>
      </c>
      <c r="Q8">
        <v>44.301000000000002</v>
      </c>
      <c r="R8">
        <v>66.599999999999994</v>
      </c>
      <c r="S8">
        <v>20.239999999999998</v>
      </c>
    </row>
    <row r="9" spans="1:21" x14ac:dyDescent="0.3">
      <c r="A9" t="s">
        <v>633</v>
      </c>
      <c r="B9">
        <v>348.07600000000002</v>
      </c>
      <c r="C9">
        <v>75.197999999999993</v>
      </c>
      <c r="D9">
        <v>62.030999999999999</v>
      </c>
      <c r="E9">
        <v>0.46600000000000003</v>
      </c>
      <c r="F9">
        <v>84.697999999999993</v>
      </c>
      <c r="G9">
        <v>34.429000000000002</v>
      </c>
      <c r="H9">
        <v>117.694</v>
      </c>
      <c r="I9">
        <v>62.936</v>
      </c>
      <c r="J9">
        <v>11.756</v>
      </c>
      <c r="K9">
        <v>229.928</v>
      </c>
      <c r="L9">
        <v>17.016999999999999</v>
      </c>
      <c r="M9">
        <v>52.354999999999997</v>
      </c>
      <c r="N9">
        <v>16.933</v>
      </c>
      <c r="O9">
        <v>0.95199999999999996</v>
      </c>
      <c r="P9">
        <v>0</v>
      </c>
      <c r="Q9">
        <v>44.279000000000003</v>
      </c>
      <c r="R9">
        <v>66.599999999999994</v>
      </c>
      <c r="S9">
        <v>20.239999999999998</v>
      </c>
    </row>
    <row r="10" spans="1:21" x14ac:dyDescent="0.3">
      <c r="A10" t="s">
        <v>634</v>
      </c>
      <c r="B10">
        <v>348.07600000000002</v>
      </c>
      <c r="C10">
        <v>75.233999999999995</v>
      </c>
      <c r="D10">
        <v>62.017000000000003</v>
      </c>
      <c r="E10">
        <v>0.55600000000000005</v>
      </c>
      <c r="F10">
        <v>85.722999999999999</v>
      </c>
      <c r="G10">
        <v>34.279000000000003</v>
      </c>
      <c r="H10">
        <v>117.556</v>
      </c>
      <c r="I10">
        <v>61.145000000000003</v>
      </c>
      <c r="J10">
        <v>11.754</v>
      </c>
      <c r="K10">
        <v>230.191</v>
      </c>
      <c r="L10">
        <v>17.055</v>
      </c>
      <c r="M10">
        <v>52.360999999999997</v>
      </c>
      <c r="N10">
        <v>16.931000000000001</v>
      </c>
      <c r="O10">
        <v>0.96299999999999997</v>
      </c>
      <c r="P10">
        <v>0</v>
      </c>
      <c r="Q10">
        <v>44.289000000000001</v>
      </c>
      <c r="R10">
        <v>66.599999999999994</v>
      </c>
      <c r="S10">
        <v>20.239999999999998</v>
      </c>
    </row>
    <row r="11" spans="1:21" x14ac:dyDescent="0.3">
      <c r="A11" t="s">
        <v>635</v>
      </c>
      <c r="B11">
        <v>347.94400000000002</v>
      </c>
      <c r="C11">
        <v>75.286000000000001</v>
      </c>
      <c r="D11">
        <v>62.164999999999999</v>
      </c>
      <c r="E11">
        <v>0.64700000000000002</v>
      </c>
      <c r="F11">
        <v>84.081000000000003</v>
      </c>
      <c r="G11">
        <v>34.923000000000002</v>
      </c>
      <c r="H11">
        <v>117.404</v>
      </c>
      <c r="I11">
        <v>62.906999999999996</v>
      </c>
      <c r="J11">
        <v>11.763999999999999</v>
      </c>
      <c r="K11">
        <v>230.10900000000001</v>
      </c>
      <c r="L11">
        <v>17.045000000000002</v>
      </c>
      <c r="M11">
        <v>52.621000000000002</v>
      </c>
      <c r="N11">
        <v>16.952000000000002</v>
      </c>
      <c r="O11">
        <v>0.94899999999999995</v>
      </c>
      <c r="P11">
        <v>0</v>
      </c>
      <c r="Q11">
        <v>44.173000000000002</v>
      </c>
      <c r="R11">
        <v>66.5</v>
      </c>
      <c r="S11">
        <v>20.239999999999998</v>
      </c>
    </row>
    <row r="12" spans="1:21" x14ac:dyDescent="0.3">
      <c r="A12" t="s">
        <v>636</v>
      </c>
      <c r="B12">
        <v>348.06</v>
      </c>
      <c r="C12">
        <v>75.319000000000003</v>
      </c>
      <c r="D12">
        <v>62.267000000000003</v>
      </c>
      <c r="E12">
        <v>0.60199999999999998</v>
      </c>
      <c r="F12">
        <v>83.817999999999998</v>
      </c>
      <c r="G12">
        <v>35.302</v>
      </c>
      <c r="H12">
        <v>117.714</v>
      </c>
      <c r="I12">
        <v>62.759</v>
      </c>
      <c r="J12">
        <v>11.757</v>
      </c>
      <c r="K12">
        <v>230.24</v>
      </c>
      <c r="L12">
        <v>17.036000000000001</v>
      </c>
      <c r="M12">
        <v>52.405999999999999</v>
      </c>
      <c r="N12">
        <v>16.945</v>
      </c>
      <c r="O12">
        <v>0.94799999999999995</v>
      </c>
      <c r="P12">
        <v>0</v>
      </c>
      <c r="Q12">
        <v>44.173000000000002</v>
      </c>
      <c r="R12">
        <v>66.599999999999994</v>
      </c>
      <c r="S12">
        <v>20.239999999999998</v>
      </c>
    </row>
    <row r="13" spans="1:21" x14ac:dyDescent="0.3">
      <c r="A13" t="s">
        <v>637</v>
      </c>
      <c r="B13">
        <v>349.19099999999997</v>
      </c>
      <c r="C13">
        <v>75.325999999999993</v>
      </c>
      <c r="D13">
        <v>62.348999999999997</v>
      </c>
      <c r="E13">
        <v>0.61699999999999999</v>
      </c>
      <c r="F13">
        <v>85.155000000000001</v>
      </c>
      <c r="G13">
        <v>35.454999999999998</v>
      </c>
      <c r="H13">
        <v>117.8</v>
      </c>
      <c r="I13">
        <v>64.183999999999997</v>
      </c>
      <c r="J13">
        <v>11.762</v>
      </c>
      <c r="K13">
        <v>230.09200000000001</v>
      </c>
      <c r="L13">
        <v>17.044</v>
      </c>
      <c r="M13">
        <v>52.433</v>
      </c>
      <c r="N13">
        <v>16.946000000000002</v>
      </c>
      <c r="O13">
        <v>0.97099999999999997</v>
      </c>
      <c r="P13">
        <v>0</v>
      </c>
      <c r="Q13">
        <v>44.250999999999998</v>
      </c>
      <c r="R13">
        <v>66.599999999999994</v>
      </c>
      <c r="S13">
        <v>20.239999999999998</v>
      </c>
    </row>
    <row r="14" spans="1:21" x14ac:dyDescent="0.3">
      <c r="A14" t="s">
        <v>638</v>
      </c>
      <c r="B14">
        <v>349.06599999999997</v>
      </c>
      <c r="C14">
        <v>75.372</v>
      </c>
      <c r="D14">
        <v>62.362000000000002</v>
      </c>
      <c r="E14">
        <v>0.56000000000000005</v>
      </c>
      <c r="F14">
        <v>84.459000000000003</v>
      </c>
      <c r="G14">
        <v>34.731999999999999</v>
      </c>
      <c r="H14">
        <v>117.56399999999999</v>
      </c>
      <c r="I14">
        <v>62.454999999999998</v>
      </c>
      <c r="J14">
        <v>11.759</v>
      </c>
      <c r="K14">
        <v>230.15799999999999</v>
      </c>
      <c r="L14">
        <v>17.041</v>
      </c>
      <c r="M14">
        <v>52.427999999999997</v>
      </c>
      <c r="N14">
        <v>16.948</v>
      </c>
      <c r="O14">
        <v>0.93300000000000005</v>
      </c>
      <c r="P14">
        <v>0</v>
      </c>
      <c r="Q14">
        <v>44.308999999999997</v>
      </c>
      <c r="R14">
        <v>66.599999999999994</v>
      </c>
      <c r="S14">
        <v>20.239999999999998</v>
      </c>
    </row>
    <row r="15" spans="1:21" x14ac:dyDescent="0.3">
      <c r="A15" t="s">
        <v>639</v>
      </c>
      <c r="B15">
        <v>348.64</v>
      </c>
      <c r="C15">
        <v>75.444000000000003</v>
      </c>
      <c r="D15">
        <v>62.444000000000003</v>
      </c>
      <c r="E15">
        <v>0.48099999999999998</v>
      </c>
      <c r="F15">
        <v>84.83</v>
      </c>
      <c r="G15">
        <v>36.045000000000002</v>
      </c>
      <c r="H15">
        <v>117.71</v>
      </c>
      <c r="I15">
        <v>62.372999999999998</v>
      </c>
      <c r="J15">
        <v>11.760999999999999</v>
      </c>
      <c r="K15">
        <v>230.02699999999999</v>
      </c>
      <c r="L15">
        <v>17.03</v>
      </c>
      <c r="M15">
        <v>52.402000000000001</v>
      </c>
      <c r="N15">
        <v>16.95</v>
      </c>
      <c r="O15">
        <v>0.95899999999999996</v>
      </c>
      <c r="P15">
        <v>0</v>
      </c>
      <c r="Q15">
        <v>44.348999999999997</v>
      </c>
      <c r="R15">
        <v>66.599999999999994</v>
      </c>
      <c r="S15">
        <v>20.239999999999998</v>
      </c>
    </row>
    <row r="16" spans="1:21" x14ac:dyDescent="0.3">
      <c r="A16" t="s">
        <v>640</v>
      </c>
      <c r="B16">
        <v>348.77800000000002</v>
      </c>
      <c r="C16">
        <v>75.483000000000004</v>
      </c>
      <c r="D16">
        <v>56.015000000000001</v>
      </c>
      <c r="E16">
        <v>0.40799999999999997</v>
      </c>
      <c r="F16">
        <v>83.347999999999999</v>
      </c>
      <c r="G16">
        <v>35.822000000000003</v>
      </c>
      <c r="H16">
        <v>117.90900000000001</v>
      </c>
      <c r="I16">
        <v>62.39</v>
      </c>
      <c r="J16">
        <v>11.757999999999999</v>
      </c>
      <c r="K16">
        <v>230.24</v>
      </c>
      <c r="L16">
        <v>17.05</v>
      </c>
      <c r="M16">
        <v>52.378</v>
      </c>
      <c r="N16">
        <v>16.943000000000001</v>
      </c>
      <c r="O16">
        <v>0.96199999999999997</v>
      </c>
      <c r="P16">
        <v>0</v>
      </c>
      <c r="Q16">
        <v>44.451000000000001</v>
      </c>
      <c r="R16">
        <v>66.599999999999994</v>
      </c>
      <c r="S16">
        <v>20.239999999999998</v>
      </c>
    </row>
    <row r="17" spans="1:19" x14ac:dyDescent="0.3">
      <c r="A17" t="s">
        <v>641</v>
      </c>
      <c r="B17">
        <v>348.66899999999998</v>
      </c>
      <c r="C17">
        <v>75.578999999999994</v>
      </c>
      <c r="D17">
        <v>56.15</v>
      </c>
      <c r="E17">
        <v>0.46300000000000002</v>
      </c>
      <c r="F17">
        <v>85.052999999999997</v>
      </c>
      <c r="G17">
        <v>36.51</v>
      </c>
      <c r="H17">
        <v>117.71299999999999</v>
      </c>
      <c r="I17">
        <v>62.488</v>
      </c>
      <c r="J17">
        <v>11.759</v>
      </c>
      <c r="K17">
        <v>229.977</v>
      </c>
      <c r="L17">
        <v>17.04</v>
      </c>
      <c r="M17">
        <v>52.320999999999998</v>
      </c>
      <c r="N17">
        <v>16.940999999999999</v>
      </c>
      <c r="O17">
        <v>0.94699999999999995</v>
      </c>
      <c r="P17">
        <v>0</v>
      </c>
      <c r="Q17">
        <v>44.476999999999997</v>
      </c>
      <c r="R17">
        <v>66.599999999999994</v>
      </c>
      <c r="S17">
        <v>20.239999999999998</v>
      </c>
    </row>
    <row r="18" spans="1:19" x14ac:dyDescent="0.3">
      <c r="A18" t="s">
        <v>642</v>
      </c>
      <c r="B18">
        <v>349.18900000000002</v>
      </c>
      <c r="C18">
        <v>75.536000000000001</v>
      </c>
      <c r="D18">
        <v>56.241999999999997</v>
      </c>
      <c r="E18">
        <v>0.57999999999999996</v>
      </c>
      <c r="F18">
        <v>84.656000000000006</v>
      </c>
      <c r="G18">
        <v>36.649000000000001</v>
      </c>
      <c r="H18">
        <v>117.91800000000001</v>
      </c>
      <c r="I18">
        <v>62.680999999999997</v>
      </c>
      <c r="J18">
        <v>11.757999999999999</v>
      </c>
      <c r="K18">
        <v>230.30600000000001</v>
      </c>
      <c r="L18">
        <v>17.047999999999998</v>
      </c>
      <c r="M18">
        <v>52.417999999999999</v>
      </c>
      <c r="N18">
        <v>16.945</v>
      </c>
      <c r="O18">
        <v>0.94399999999999995</v>
      </c>
      <c r="P18">
        <v>0</v>
      </c>
      <c r="Q18">
        <v>44.475000000000001</v>
      </c>
      <c r="R18">
        <v>66.5</v>
      </c>
      <c r="S18">
        <v>20.239999999999998</v>
      </c>
    </row>
    <row r="19" spans="1:19" x14ac:dyDescent="0.3">
      <c r="A19" t="s">
        <v>643</v>
      </c>
      <c r="B19">
        <v>348.95800000000003</v>
      </c>
      <c r="C19">
        <v>75.588999999999999</v>
      </c>
      <c r="D19">
        <v>56.314</v>
      </c>
      <c r="E19">
        <v>0.61299999999999999</v>
      </c>
      <c r="F19">
        <v>84.84</v>
      </c>
      <c r="G19">
        <v>37.252000000000002</v>
      </c>
      <c r="H19">
        <v>117.898</v>
      </c>
      <c r="I19">
        <v>62.837000000000003</v>
      </c>
      <c r="J19">
        <v>11.757999999999999</v>
      </c>
      <c r="K19">
        <v>229.94399999999999</v>
      </c>
      <c r="L19">
        <v>17.038</v>
      </c>
      <c r="M19">
        <v>52.387999999999998</v>
      </c>
      <c r="N19">
        <v>16.939</v>
      </c>
      <c r="O19">
        <v>0.97799999999999998</v>
      </c>
      <c r="P19">
        <v>0</v>
      </c>
      <c r="Q19">
        <v>44.463999999999999</v>
      </c>
      <c r="R19">
        <v>66.5</v>
      </c>
      <c r="S19">
        <v>20.239999999999998</v>
      </c>
    </row>
    <row r="20" spans="1:19" x14ac:dyDescent="0.3">
      <c r="A20" t="s">
        <v>644</v>
      </c>
      <c r="B20">
        <v>349.71699999999998</v>
      </c>
      <c r="C20">
        <v>75.641000000000005</v>
      </c>
      <c r="D20">
        <v>56.402999999999999</v>
      </c>
      <c r="E20">
        <v>0.54300000000000004</v>
      </c>
      <c r="F20">
        <v>86.21</v>
      </c>
      <c r="G20">
        <v>37.284999999999997</v>
      </c>
      <c r="H20">
        <v>117.85599999999999</v>
      </c>
      <c r="I20">
        <v>62.832999999999998</v>
      </c>
      <c r="J20">
        <v>11.760999999999999</v>
      </c>
      <c r="K20">
        <v>230.28899999999999</v>
      </c>
      <c r="L20">
        <v>17.052</v>
      </c>
      <c r="M20">
        <v>52.387999999999998</v>
      </c>
      <c r="N20">
        <v>16.943000000000001</v>
      </c>
      <c r="O20">
        <v>0.94399999999999995</v>
      </c>
      <c r="P20">
        <v>0</v>
      </c>
      <c r="Q20">
        <v>44.463999999999999</v>
      </c>
      <c r="R20">
        <v>66.599999999999994</v>
      </c>
      <c r="S20">
        <v>20.239999999999998</v>
      </c>
    </row>
    <row r="21" spans="1:19" x14ac:dyDescent="0.3">
      <c r="A21" t="s">
        <v>645</v>
      </c>
      <c r="B21">
        <v>349.22</v>
      </c>
      <c r="C21">
        <v>75.674000000000007</v>
      </c>
      <c r="D21">
        <v>56.505000000000003</v>
      </c>
      <c r="E21">
        <v>0.44</v>
      </c>
      <c r="F21">
        <v>85.382000000000005</v>
      </c>
      <c r="G21">
        <v>37.737000000000002</v>
      </c>
      <c r="H21">
        <v>118.129</v>
      </c>
      <c r="I21">
        <v>62.57</v>
      </c>
      <c r="J21">
        <v>11.756</v>
      </c>
      <c r="K21">
        <v>228.827</v>
      </c>
      <c r="L21">
        <v>17.032</v>
      </c>
      <c r="M21">
        <v>52.497999999999998</v>
      </c>
      <c r="N21">
        <v>16.931999999999999</v>
      </c>
      <c r="O21">
        <v>0.94899999999999995</v>
      </c>
      <c r="P21">
        <v>0</v>
      </c>
      <c r="Q21">
        <v>44.517000000000003</v>
      </c>
      <c r="R21">
        <v>66.599999999999994</v>
      </c>
      <c r="S21">
        <v>20.239999999999998</v>
      </c>
    </row>
    <row r="22" spans="1:19" x14ac:dyDescent="0.3">
      <c r="A22" t="s">
        <v>646</v>
      </c>
      <c r="B22">
        <v>349.58600000000001</v>
      </c>
      <c r="C22">
        <v>75.671000000000006</v>
      </c>
      <c r="D22">
        <v>56.183</v>
      </c>
      <c r="E22">
        <v>0.41199999999999998</v>
      </c>
      <c r="F22">
        <v>84.697999999999993</v>
      </c>
      <c r="G22">
        <v>37.380000000000003</v>
      </c>
      <c r="H22">
        <v>118.137</v>
      </c>
      <c r="I22">
        <v>62.566000000000003</v>
      </c>
      <c r="J22">
        <v>11.763999999999999</v>
      </c>
      <c r="K22">
        <v>230.37200000000001</v>
      </c>
      <c r="L22">
        <v>17.059999999999999</v>
      </c>
      <c r="M22">
        <v>52.41</v>
      </c>
      <c r="N22">
        <v>16.934999999999999</v>
      </c>
      <c r="O22">
        <v>0.97299999999999998</v>
      </c>
      <c r="P22">
        <v>0</v>
      </c>
      <c r="Q22">
        <v>44.542000000000002</v>
      </c>
      <c r="R22">
        <v>66.599999999999994</v>
      </c>
      <c r="S22">
        <v>20.239999999999998</v>
      </c>
    </row>
    <row r="23" spans="1:19" x14ac:dyDescent="0.3">
      <c r="A23" t="s">
        <v>647</v>
      </c>
      <c r="B23">
        <v>349.858</v>
      </c>
      <c r="C23">
        <v>75.727000000000004</v>
      </c>
      <c r="D23">
        <v>56.587000000000003</v>
      </c>
      <c r="E23">
        <v>0.39800000000000002</v>
      </c>
      <c r="F23">
        <v>85.756</v>
      </c>
      <c r="G23">
        <v>38.595999999999997</v>
      </c>
      <c r="H23">
        <v>118.074</v>
      </c>
      <c r="I23">
        <v>62.381</v>
      </c>
      <c r="J23">
        <v>11.757999999999999</v>
      </c>
      <c r="K23">
        <v>230.10900000000001</v>
      </c>
      <c r="L23">
        <v>17.044</v>
      </c>
      <c r="M23">
        <v>52.362000000000002</v>
      </c>
      <c r="N23">
        <v>16.939</v>
      </c>
      <c r="O23">
        <v>0.95599999999999996</v>
      </c>
      <c r="P23">
        <v>0</v>
      </c>
      <c r="Q23">
        <v>44.51</v>
      </c>
      <c r="R23">
        <v>66.7</v>
      </c>
      <c r="S23">
        <v>20.239999999999998</v>
      </c>
    </row>
    <row r="24" spans="1:19" x14ac:dyDescent="0.3">
      <c r="A24" t="s">
        <v>648</v>
      </c>
      <c r="B24">
        <v>350.26100000000002</v>
      </c>
      <c r="C24">
        <v>75.763000000000005</v>
      </c>
      <c r="D24">
        <v>56.62</v>
      </c>
      <c r="E24">
        <v>0.48799999999999999</v>
      </c>
      <c r="F24">
        <v>84.281000000000006</v>
      </c>
      <c r="G24">
        <v>38.323</v>
      </c>
      <c r="H24">
        <v>117.82299999999999</v>
      </c>
      <c r="I24">
        <v>62.290999999999997</v>
      </c>
      <c r="J24">
        <v>11.762</v>
      </c>
      <c r="K24">
        <v>230.20699999999999</v>
      </c>
      <c r="L24">
        <v>17.05</v>
      </c>
      <c r="M24">
        <v>52.359000000000002</v>
      </c>
      <c r="N24">
        <v>16.940000000000001</v>
      </c>
      <c r="O24">
        <v>0.95399999999999996</v>
      </c>
      <c r="P24">
        <v>0</v>
      </c>
      <c r="Q24">
        <v>44.523000000000003</v>
      </c>
      <c r="R24">
        <v>66.400000000000006</v>
      </c>
      <c r="S24">
        <v>20.239999999999998</v>
      </c>
    </row>
    <row r="25" spans="1:19" ht="15" thickBot="1" x14ac:dyDescent="0.35">
      <c r="A25" t="s">
        <v>649</v>
      </c>
      <c r="B25">
        <v>350.44799999999998</v>
      </c>
      <c r="C25">
        <v>75.822000000000003</v>
      </c>
      <c r="D25">
        <v>56.783999999999999</v>
      </c>
      <c r="E25">
        <v>0.56200000000000006</v>
      </c>
      <c r="F25">
        <v>85.584999999999994</v>
      </c>
      <c r="G25">
        <v>38.527000000000001</v>
      </c>
      <c r="H25">
        <v>118.023</v>
      </c>
      <c r="I25">
        <v>62.335999999999999</v>
      </c>
      <c r="J25">
        <v>11.757</v>
      </c>
      <c r="K25">
        <v>230.07599999999999</v>
      </c>
      <c r="L25">
        <v>17.04</v>
      </c>
      <c r="M25">
        <v>52.545999999999999</v>
      </c>
      <c r="N25">
        <v>16.936</v>
      </c>
      <c r="O25">
        <v>0.96499999999999997</v>
      </c>
      <c r="P25">
        <v>0</v>
      </c>
      <c r="Q25">
        <v>44.524000000000001</v>
      </c>
      <c r="R25">
        <v>66.599999999999994</v>
      </c>
      <c r="S25">
        <v>20.239999999999998</v>
      </c>
    </row>
    <row r="26" spans="1:19" ht="15" thickBot="1" x14ac:dyDescent="0.35">
      <c r="A26" t="s">
        <v>30</v>
      </c>
      <c r="B26" s="1">
        <f t="shared" ref="B26:S26" si="0">AVERAGE(B6:B25)</f>
        <v>348.80560000000003</v>
      </c>
      <c r="C26" s="1">
        <f t="shared" si="0"/>
        <v>75.4589</v>
      </c>
      <c r="D26" s="1">
        <f t="shared" si="0"/>
        <v>59.249199999999995</v>
      </c>
      <c r="E26" s="10">
        <f t="shared" si="0"/>
        <v>0.50690000000000002</v>
      </c>
      <c r="F26" s="1">
        <f t="shared" si="0"/>
        <v>84.830600000000004</v>
      </c>
      <c r="G26" s="1">
        <f t="shared" si="0"/>
        <v>35.983699999999999</v>
      </c>
      <c r="H26" s="10">
        <f t="shared" si="0"/>
        <v>117.76479999999999</v>
      </c>
      <c r="I26" s="1">
        <f t="shared" si="0"/>
        <v>62.636450000000011</v>
      </c>
      <c r="J26" s="8">
        <f t="shared" si="0"/>
        <v>11.758800000000001</v>
      </c>
      <c r="K26" s="1">
        <f t="shared" si="0"/>
        <v>230.0643</v>
      </c>
      <c r="L26" s="1">
        <f t="shared" si="0"/>
        <v>17.04205</v>
      </c>
      <c r="M26" s="1">
        <f t="shared" si="0"/>
        <v>52.417150000000007</v>
      </c>
      <c r="N26" s="1">
        <f t="shared" si="0"/>
        <v>16.940999999999999</v>
      </c>
      <c r="O26" s="1">
        <f t="shared" si="0"/>
        <v>0.95745000000000002</v>
      </c>
      <c r="P26" s="1">
        <f t="shared" si="0"/>
        <v>0</v>
      </c>
      <c r="Q26" s="1">
        <f t="shared" si="0"/>
        <v>44.390699999999995</v>
      </c>
      <c r="R26" s="1">
        <f t="shared" si="0"/>
        <v>66.580000000000013</v>
      </c>
      <c r="S26" s="1">
        <f t="shared" si="0"/>
        <v>20.240000000000002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6E07-5867-4C9D-A61A-2267B92C1E83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0.64734953703703701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3.3351288212330528</v>
      </c>
      <c r="M2" s="8">
        <f>100*(R26/(R26+Q26))</f>
        <v>59.933460251894012</v>
      </c>
      <c r="O2" s="9">
        <f>100*((E26*C2)/((E26*C2)+(K2*E2)))</f>
        <v>14.936448254982777</v>
      </c>
      <c r="Q2" s="10">
        <f>100*J26*(1/(((C2/3.6)*E26)+((E2/3.6)*K2)))</f>
        <v>25.230544614235122</v>
      </c>
      <c r="S2" s="6">
        <v>3.54</v>
      </c>
      <c r="U2" s="10">
        <f>100*((((G26*0.001*60)*(C26-D26)*(S2/3.6)))/(((C2/3.6)*E26)+((E2/3.6)*K2)))</f>
        <v>166.23786229170619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650</v>
      </c>
      <c r="B6">
        <v>388.42099999999999</v>
      </c>
      <c r="C6">
        <v>77.444999999999993</v>
      </c>
      <c r="D6">
        <v>45.173999999999999</v>
      </c>
      <c r="E6">
        <v>0.69899999999999995</v>
      </c>
      <c r="F6">
        <v>87.084000000000003</v>
      </c>
      <c r="G6">
        <v>46.633000000000003</v>
      </c>
      <c r="H6">
        <v>129.40299999999999</v>
      </c>
      <c r="I6">
        <v>62.914999999999999</v>
      </c>
      <c r="J6">
        <v>13.747</v>
      </c>
      <c r="K6">
        <v>229.96100000000001</v>
      </c>
      <c r="L6">
        <v>19.928999999999998</v>
      </c>
      <c r="M6">
        <v>52.14</v>
      </c>
      <c r="N6">
        <v>19.811</v>
      </c>
      <c r="O6">
        <v>0.999</v>
      </c>
      <c r="P6">
        <v>0</v>
      </c>
      <c r="Q6">
        <v>48.209000000000003</v>
      </c>
      <c r="R6">
        <v>73.2</v>
      </c>
      <c r="S6">
        <v>26.24</v>
      </c>
    </row>
    <row r="7" spans="1:21" x14ac:dyDescent="0.3">
      <c r="A7" t="s">
        <v>651</v>
      </c>
      <c r="B7">
        <v>388.77199999999999</v>
      </c>
      <c r="C7">
        <v>77.486999999999995</v>
      </c>
      <c r="D7">
        <v>45.273000000000003</v>
      </c>
      <c r="E7">
        <v>0.71099999999999997</v>
      </c>
      <c r="F7">
        <v>86.603999999999999</v>
      </c>
      <c r="G7">
        <v>46.686</v>
      </c>
      <c r="H7">
        <v>129.53700000000001</v>
      </c>
      <c r="I7">
        <v>62.981000000000002</v>
      </c>
      <c r="J7">
        <v>13.744</v>
      </c>
      <c r="K7">
        <v>230.125</v>
      </c>
      <c r="L7">
        <v>19.922000000000001</v>
      </c>
      <c r="M7">
        <v>52.128</v>
      </c>
      <c r="N7">
        <v>19.806999999999999</v>
      </c>
      <c r="O7">
        <v>0.98199999999999998</v>
      </c>
      <c r="P7">
        <v>0</v>
      </c>
      <c r="Q7">
        <v>48.374000000000002</v>
      </c>
      <c r="R7">
        <v>73.099999999999994</v>
      </c>
      <c r="S7">
        <v>26.24</v>
      </c>
    </row>
    <row r="8" spans="1:21" x14ac:dyDescent="0.3">
      <c r="A8" t="s">
        <v>652</v>
      </c>
      <c r="B8">
        <v>389.69</v>
      </c>
      <c r="C8">
        <v>77.543000000000006</v>
      </c>
      <c r="D8">
        <v>45.26</v>
      </c>
      <c r="E8">
        <v>0.67800000000000005</v>
      </c>
      <c r="F8">
        <v>86.462999999999994</v>
      </c>
      <c r="G8">
        <v>46.732999999999997</v>
      </c>
      <c r="H8">
        <v>129.70400000000001</v>
      </c>
      <c r="I8">
        <v>62.787999999999997</v>
      </c>
      <c r="J8">
        <v>13.746</v>
      </c>
      <c r="K8">
        <v>229.91200000000001</v>
      </c>
      <c r="L8">
        <v>20.007999999999999</v>
      </c>
      <c r="M8">
        <v>52.146000000000001</v>
      </c>
      <c r="N8">
        <v>19.768999999999998</v>
      </c>
      <c r="O8">
        <v>0.98799999999999999</v>
      </c>
      <c r="P8">
        <v>0</v>
      </c>
      <c r="Q8">
        <v>48.572000000000003</v>
      </c>
      <c r="R8">
        <v>73.099999999999994</v>
      </c>
      <c r="S8">
        <v>26.24</v>
      </c>
    </row>
    <row r="9" spans="1:21" x14ac:dyDescent="0.3">
      <c r="A9" t="s">
        <v>653</v>
      </c>
      <c r="B9">
        <v>389.54899999999998</v>
      </c>
      <c r="C9">
        <v>77.569999999999993</v>
      </c>
      <c r="D9">
        <v>45.341999999999999</v>
      </c>
      <c r="E9">
        <v>0.64</v>
      </c>
      <c r="F9">
        <v>86.885999999999996</v>
      </c>
      <c r="G9">
        <v>46.301000000000002</v>
      </c>
      <c r="H9">
        <v>129.774</v>
      </c>
      <c r="I9">
        <v>62.643999999999998</v>
      </c>
      <c r="J9">
        <v>13.747999999999999</v>
      </c>
      <c r="K9">
        <v>230.10900000000001</v>
      </c>
      <c r="L9">
        <v>19.940999999999999</v>
      </c>
      <c r="M9">
        <v>52.186999999999998</v>
      </c>
      <c r="N9">
        <v>19.815000000000001</v>
      </c>
      <c r="O9">
        <v>0.97699999999999998</v>
      </c>
      <c r="P9">
        <v>0</v>
      </c>
      <c r="Q9">
        <v>48.63</v>
      </c>
      <c r="R9">
        <v>73.099999999999994</v>
      </c>
      <c r="S9">
        <v>26.24</v>
      </c>
    </row>
    <row r="10" spans="1:21" x14ac:dyDescent="0.3">
      <c r="A10" t="s">
        <v>654</v>
      </c>
      <c r="B10">
        <v>389.262</v>
      </c>
      <c r="C10">
        <v>77.625</v>
      </c>
      <c r="D10">
        <v>45.420999999999999</v>
      </c>
      <c r="E10">
        <v>0.66800000000000004</v>
      </c>
      <c r="F10">
        <v>86.298000000000002</v>
      </c>
      <c r="G10">
        <v>46.793999999999997</v>
      </c>
      <c r="H10">
        <v>129.56200000000001</v>
      </c>
      <c r="I10">
        <v>62.500999999999998</v>
      </c>
      <c r="J10">
        <v>13.749000000000001</v>
      </c>
      <c r="K10">
        <v>229.81299999999999</v>
      </c>
      <c r="L10">
        <v>19.934000000000001</v>
      </c>
      <c r="M10">
        <v>52.508000000000003</v>
      </c>
      <c r="N10">
        <v>19.835000000000001</v>
      </c>
      <c r="O10">
        <v>0.95699999999999996</v>
      </c>
      <c r="P10">
        <v>0</v>
      </c>
      <c r="Q10">
        <v>48.722000000000001</v>
      </c>
      <c r="R10">
        <v>72.900000000000006</v>
      </c>
      <c r="S10">
        <v>26.24</v>
      </c>
    </row>
    <row r="11" spans="1:21" x14ac:dyDescent="0.3">
      <c r="A11" t="s">
        <v>655</v>
      </c>
      <c r="B11">
        <v>390.54</v>
      </c>
      <c r="C11">
        <v>77.697999999999993</v>
      </c>
      <c r="D11">
        <v>45.539000000000001</v>
      </c>
      <c r="E11">
        <v>0.69799999999999995</v>
      </c>
      <c r="F11">
        <v>86.295000000000002</v>
      </c>
      <c r="G11">
        <v>47.125999999999998</v>
      </c>
      <c r="H11">
        <v>130.10300000000001</v>
      </c>
      <c r="I11">
        <v>62.603000000000002</v>
      </c>
      <c r="J11">
        <v>13.747</v>
      </c>
      <c r="K11">
        <v>230.10900000000001</v>
      </c>
      <c r="L11">
        <v>19.934000000000001</v>
      </c>
      <c r="M11">
        <v>52.180999999999997</v>
      </c>
      <c r="N11">
        <v>19.815000000000001</v>
      </c>
      <c r="O11">
        <v>0.96099999999999997</v>
      </c>
      <c r="P11">
        <v>0</v>
      </c>
      <c r="Q11">
        <v>48.680999999999997</v>
      </c>
      <c r="R11">
        <v>72.900000000000006</v>
      </c>
      <c r="S11">
        <v>26.24</v>
      </c>
    </row>
    <row r="12" spans="1:21" x14ac:dyDescent="0.3">
      <c r="A12" t="s">
        <v>656</v>
      </c>
      <c r="B12">
        <v>391.12299999999999</v>
      </c>
      <c r="C12">
        <v>77.744</v>
      </c>
      <c r="D12">
        <v>45.529000000000003</v>
      </c>
      <c r="E12">
        <v>0.70399999999999996</v>
      </c>
      <c r="F12">
        <v>87.116</v>
      </c>
      <c r="G12">
        <v>46.951999999999998</v>
      </c>
      <c r="H12">
        <v>129.79599999999999</v>
      </c>
      <c r="I12">
        <v>62.820999999999998</v>
      </c>
      <c r="J12">
        <v>13.749000000000001</v>
      </c>
      <c r="K12">
        <v>229.81299999999999</v>
      </c>
      <c r="L12">
        <v>19.931000000000001</v>
      </c>
      <c r="M12">
        <v>52.186999999999998</v>
      </c>
      <c r="N12">
        <v>19.82</v>
      </c>
      <c r="O12">
        <v>0.96499999999999997</v>
      </c>
      <c r="P12">
        <v>0</v>
      </c>
      <c r="Q12">
        <v>48.58</v>
      </c>
      <c r="R12">
        <v>72.8</v>
      </c>
      <c r="S12">
        <v>26.24</v>
      </c>
    </row>
    <row r="13" spans="1:21" x14ac:dyDescent="0.3">
      <c r="A13" t="s">
        <v>657</v>
      </c>
      <c r="B13">
        <v>390.529</v>
      </c>
      <c r="C13">
        <v>77.808999999999997</v>
      </c>
      <c r="D13">
        <v>45.529000000000003</v>
      </c>
      <c r="E13">
        <v>0.69099999999999995</v>
      </c>
      <c r="F13">
        <v>86.853999999999999</v>
      </c>
      <c r="G13">
        <v>47.146000000000001</v>
      </c>
      <c r="H13">
        <v>129.69900000000001</v>
      </c>
      <c r="I13">
        <v>62.874000000000002</v>
      </c>
      <c r="J13">
        <v>13.746</v>
      </c>
      <c r="K13">
        <v>230.20699999999999</v>
      </c>
      <c r="L13">
        <v>19.946000000000002</v>
      </c>
      <c r="M13">
        <v>52.124000000000002</v>
      </c>
      <c r="N13">
        <v>19.817</v>
      </c>
      <c r="O13">
        <v>0.97</v>
      </c>
      <c r="P13">
        <v>0</v>
      </c>
      <c r="Q13">
        <v>48.664000000000001</v>
      </c>
      <c r="R13">
        <v>72.900000000000006</v>
      </c>
      <c r="S13">
        <v>26.24</v>
      </c>
    </row>
    <row r="14" spans="1:21" x14ac:dyDescent="0.3">
      <c r="A14" t="s">
        <v>658</v>
      </c>
      <c r="B14">
        <v>390.536</v>
      </c>
      <c r="C14">
        <v>77.864999999999995</v>
      </c>
      <c r="D14">
        <v>45.634</v>
      </c>
      <c r="E14">
        <v>0.64800000000000002</v>
      </c>
      <c r="F14">
        <v>86.573999999999998</v>
      </c>
      <c r="G14">
        <v>47.284999999999997</v>
      </c>
      <c r="H14">
        <v>129.79900000000001</v>
      </c>
      <c r="I14">
        <v>62.673000000000002</v>
      </c>
      <c r="J14">
        <v>13.749000000000001</v>
      </c>
      <c r="K14">
        <v>230.142</v>
      </c>
      <c r="L14">
        <v>19.937999999999999</v>
      </c>
      <c r="M14">
        <v>52.087000000000003</v>
      </c>
      <c r="N14">
        <v>19.815000000000001</v>
      </c>
      <c r="O14">
        <v>0.995</v>
      </c>
      <c r="P14">
        <v>0</v>
      </c>
      <c r="Q14">
        <v>48.707999999999998</v>
      </c>
      <c r="R14">
        <v>72.900000000000006</v>
      </c>
      <c r="S14">
        <v>26.24</v>
      </c>
    </row>
    <row r="15" spans="1:21" x14ac:dyDescent="0.3">
      <c r="A15" t="s">
        <v>659</v>
      </c>
      <c r="B15">
        <v>390.70600000000002</v>
      </c>
      <c r="C15">
        <v>77.924000000000007</v>
      </c>
      <c r="D15">
        <v>45.771999999999998</v>
      </c>
      <c r="E15">
        <v>0.65400000000000003</v>
      </c>
      <c r="F15">
        <v>86.222999999999999</v>
      </c>
      <c r="G15">
        <v>47.719000000000001</v>
      </c>
      <c r="H15">
        <v>129.85400000000001</v>
      </c>
      <c r="I15">
        <v>62.582999999999998</v>
      </c>
      <c r="J15">
        <v>13.747</v>
      </c>
      <c r="K15">
        <v>230.15799999999999</v>
      </c>
      <c r="L15">
        <v>19.945</v>
      </c>
      <c r="M15">
        <v>52.173000000000002</v>
      </c>
      <c r="N15">
        <v>19.821999999999999</v>
      </c>
      <c r="O15">
        <v>0.96</v>
      </c>
      <c r="P15">
        <v>0</v>
      </c>
      <c r="Q15">
        <v>48.646999999999998</v>
      </c>
      <c r="R15">
        <v>72.8</v>
      </c>
      <c r="S15">
        <v>26.24</v>
      </c>
    </row>
    <row r="16" spans="1:21" x14ac:dyDescent="0.3">
      <c r="A16" t="s">
        <v>660</v>
      </c>
      <c r="B16">
        <v>391.21199999999999</v>
      </c>
      <c r="C16">
        <v>77.921000000000006</v>
      </c>
      <c r="D16">
        <v>45.781999999999996</v>
      </c>
      <c r="E16">
        <v>0.67800000000000005</v>
      </c>
      <c r="F16">
        <v>86.876999999999995</v>
      </c>
      <c r="G16">
        <v>48.036000000000001</v>
      </c>
      <c r="H16">
        <v>129.68600000000001</v>
      </c>
      <c r="I16">
        <v>62.496000000000002</v>
      </c>
      <c r="J16">
        <v>13.749000000000001</v>
      </c>
      <c r="K16">
        <v>229.846</v>
      </c>
      <c r="L16">
        <v>19.93</v>
      </c>
      <c r="M16">
        <v>52.154000000000003</v>
      </c>
      <c r="N16">
        <v>19.821000000000002</v>
      </c>
      <c r="O16">
        <v>0.97099999999999997</v>
      </c>
      <c r="P16">
        <v>0</v>
      </c>
      <c r="Q16">
        <v>48.716999999999999</v>
      </c>
      <c r="R16">
        <v>72.900000000000006</v>
      </c>
      <c r="S16">
        <v>26.24</v>
      </c>
    </row>
    <row r="17" spans="1:19" x14ac:dyDescent="0.3">
      <c r="A17" t="s">
        <v>661</v>
      </c>
      <c r="B17">
        <v>391.32100000000003</v>
      </c>
      <c r="C17">
        <v>78.061999999999998</v>
      </c>
      <c r="D17">
        <v>45.784999999999997</v>
      </c>
      <c r="E17">
        <v>0.70799999999999996</v>
      </c>
      <c r="F17">
        <v>88.141000000000005</v>
      </c>
      <c r="G17">
        <v>47.959000000000003</v>
      </c>
      <c r="H17">
        <v>129.755</v>
      </c>
      <c r="I17">
        <v>62.808999999999997</v>
      </c>
      <c r="J17">
        <v>13.747999999999999</v>
      </c>
      <c r="K17">
        <v>230.17400000000001</v>
      </c>
      <c r="L17">
        <v>19.949000000000002</v>
      </c>
      <c r="M17">
        <v>52.113999999999997</v>
      </c>
      <c r="N17">
        <v>19.824000000000002</v>
      </c>
      <c r="O17">
        <v>0.98799999999999999</v>
      </c>
      <c r="P17">
        <v>0</v>
      </c>
      <c r="Q17">
        <v>48.826999999999998</v>
      </c>
      <c r="R17">
        <v>72.900000000000006</v>
      </c>
      <c r="S17">
        <v>26.24</v>
      </c>
    </row>
    <row r="18" spans="1:19" x14ac:dyDescent="0.3">
      <c r="A18" t="s">
        <v>662</v>
      </c>
      <c r="B18">
        <v>391.88099999999997</v>
      </c>
      <c r="C18">
        <v>78.02</v>
      </c>
      <c r="D18">
        <v>45.853999999999999</v>
      </c>
      <c r="E18">
        <v>0.70399999999999996</v>
      </c>
      <c r="F18">
        <v>86.525000000000006</v>
      </c>
      <c r="G18">
        <v>47.313000000000002</v>
      </c>
      <c r="H18">
        <v>129.72900000000001</v>
      </c>
      <c r="I18">
        <v>63.256</v>
      </c>
      <c r="J18">
        <v>13.742000000000001</v>
      </c>
      <c r="K18">
        <v>229.797</v>
      </c>
      <c r="L18">
        <v>19.928000000000001</v>
      </c>
      <c r="M18">
        <v>52.148000000000003</v>
      </c>
      <c r="N18">
        <v>19.821000000000002</v>
      </c>
      <c r="O18">
        <v>0.98099999999999998</v>
      </c>
      <c r="P18">
        <v>0</v>
      </c>
      <c r="Q18">
        <v>48.829000000000001</v>
      </c>
      <c r="R18">
        <v>72.900000000000006</v>
      </c>
      <c r="S18">
        <v>26.24</v>
      </c>
    </row>
    <row r="19" spans="1:19" x14ac:dyDescent="0.3">
      <c r="A19" t="s">
        <v>663</v>
      </c>
      <c r="B19">
        <v>392.12599999999998</v>
      </c>
      <c r="C19">
        <v>78.105000000000004</v>
      </c>
      <c r="D19">
        <v>45.871000000000002</v>
      </c>
      <c r="E19">
        <v>0.71399999999999997</v>
      </c>
      <c r="F19">
        <v>86.728999999999999</v>
      </c>
      <c r="G19">
        <v>47.542000000000002</v>
      </c>
      <c r="H19">
        <v>129.86799999999999</v>
      </c>
      <c r="I19">
        <v>62.976999999999997</v>
      </c>
      <c r="J19">
        <v>13.75</v>
      </c>
      <c r="K19">
        <v>230.191</v>
      </c>
      <c r="L19">
        <v>19.949000000000002</v>
      </c>
      <c r="M19">
        <v>52.173000000000002</v>
      </c>
      <c r="N19">
        <v>19.821000000000002</v>
      </c>
      <c r="O19">
        <v>0.97699999999999998</v>
      </c>
      <c r="P19">
        <v>0</v>
      </c>
      <c r="Q19">
        <v>48.743000000000002</v>
      </c>
      <c r="R19">
        <v>72.900000000000006</v>
      </c>
      <c r="S19">
        <v>26.24</v>
      </c>
    </row>
    <row r="20" spans="1:19" x14ac:dyDescent="0.3">
      <c r="A20" t="s">
        <v>664</v>
      </c>
      <c r="B20">
        <v>392.702</v>
      </c>
      <c r="C20">
        <v>78.171000000000006</v>
      </c>
      <c r="D20">
        <v>45.948999999999998</v>
      </c>
      <c r="E20">
        <v>0.69199999999999995</v>
      </c>
      <c r="F20">
        <v>87.787000000000006</v>
      </c>
      <c r="G20">
        <v>48.183999999999997</v>
      </c>
      <c r="H20">
        <v>129.96100000000001</v>
      </c>
      <c r="I20">
        <v>63.03</v>
      </c>
      <c r="J20">
        <v>13.747</v>
      </c>
      <c r="K20">
        <v>229.82900000000001</v>
      </c>
      <c r="L20">
        <v>19.940999999999999</v>
      </c>
      <c r="M20">
        <v>52.164999999999999</v>
      </c>
      <c r="N20">
        <v>19.815999999999999</v>
      </c>
      <c r="O20">
        <v>0.97499999999999998</v>
      </c>
      <c r="P20">
        <v>0</v>
      </c>
      <c r="Q20">
        <v>48.723999999999997</v>
      </c>
      <c r="R20">
        <v>72.900000000000006</v>
      </c>
      <c r="S20">
        <v>26.24</v>
      </c>
    </row>
    <row r="21" spans="1:19" x14ac:dyDescent="0.3">
      <c r="A21" t="s">
        <v>665</v>
      </c>
      <c r="B21">
        <v>392.90899999999999</v>
      </c>
      <c r="C21">
        <v>78.256</v>
      </c>
      <c r="D21">
        <v>46.005000000000003</v>
      </c>
      <c r="E21">
        <v>0.65400000000000003</v>
      </c>
      <c r="F21">
        <v>86.968999999999994</v>
      </c>
      <c r="G21">
        <v>48.218000000000004</v>
      </c>
      <c r="H21">
        <v>130.08099999999999</v>
      </c>
      <c r="I21">
        <v>62.927999999999997</v>
      </c>
      <c r="J21">
        <v>13.747</v>
      </c>
      <c r="K21">
        <v>230.191</v>
      </c>
      <c r="L21">
        <v>19.943000000000001</v>
      </c>
      <c r="M21">
        <v>52.174999999999997</v>
      </c>
      <c r="N21">
        <v>19.818000000000001</v>
      </c>
      <c r="O21">
        <v>0.98299999999999998</v>
      </c>
      <c r="P21">
        <v>0</v>
      </c>
      <c r="Q21">
        <v>48.822000000000003</v>
      </c>
      <c r="R21">
        <v>72.900000000000006</v>
      </c>
      <c r="S21">
        <v>26.24</v>
      </c>
    </row>
    <row r="22" spans="1:19" x14ac:dyDescent="0.3">
      <c r="A22" t="s">
        <v>666</v>
      </c>
      <c r="B22">
        <v>393.04500000000002</v>
      </c>
      <c r="C22">
        <v>78.289000000000001</v>
      </c>
      <c r="D22">
        <v>46.002000000000002</v>
      </c>
      <c r="E22">
        <v>0.67800000000000005</v>
      </c>
      <c r="F22">
        <v>87.763999999999996</v>
      </c>
      <c r="G22">
        <v>49.088999999999999</v>
      </c>
      <c r="H22">
        <v>130.08000000000001</v>
      </c>
      <c r="I22">
        <v>62.661000000000001</v>
      </c>
      <c r="J22">
        <v>13.747999999999999</v>
      </c>
      <c r="K22">
        <v>229.846</v>
      </c>
      <c r="L22">
        <v>19.936</v>
      </c>
      <c r="M22">
        <v>52.210999999999999</v>
      </c>
      <c r="N22">
        <v>19.812000000000001</v>
      </c>
      <c r="O22">
        <v>0.96899999999999997</v>
      </c>
      <c r="P22">
        <v>0</v>
      </c>
      <c r="Q22">
        <v>48.936</v>
      </c>
      <c r="R22">
        <v>72.8</v>
      </c>
      <c r="S22">
        <v>26.24</v>
      </c>
    </row>
    <row r="23" spans="1:19" x14ac:dyDescent="0.3">
      <c r="A23" t="s">
        <v>667</v>
      </c>
      <c r="B23">
        <v>393.25400000000002</v>
      </c>
      <c r="C23">
        <v>78.253</v>
      </c>
      <c r="D23">
        <v>46.055</v>
      </c>
      <c r="E23">
        <v>0.69199999999999995</v>
      </c>
      <c r="F23">
        <v>87.76</v>
      </c>
      <c r="G23">
        <v>49.131999999999998</v>
      </c>
      <c r="H23">
        <v>130.25200000000001</v>
      </c>
      <c r="I23">
        <v>62.62</v>
      </c>
      <c r="J23">
        <v>13.75</v>
      </c>
      <c r="K23">
        <v>230.25700000000001</v>
      </c>
      <c r="L23">
        <v>19.951000000000001</v>
      </c>
      <c r="M23">
        <v>52.15</v>
      </c>
      <c r="N23">
        <v>19.815999999999999</v>
      </c>
      <c r="O23">
        <v>0.98</v>
      </c>
      <c r="P23">
        <v>0</v>
      </c>
      <c r="Q23">
        <v>49.1</v>
      </c>
      <c r="R23">
        <v>72.7</v>
      </c>
      <c r="S23">
        <v>26.24</v>
      </c>
    </row>
    <row r="24" spans="1:19" x14ac:dyDescent="0.3">
      <c r="A24" t="s">
        <v>668</v>
      </c>
      <c r="B24">
        <v>393.036</v>
      </c>
      <c r="C24">
        <v>78.373999999999995</v>
      </c>
      <c r="D24">
        <v>46.192999999999998</v>
      </c>
      <c r="E24">
        <v>0.70699999999999996</v>
      </c>
      <c r="F24">
        <v>88.069000000000003</v>
      </c>
      <c r="G24">
        <v>49.26</v>
      </c>
      <c r="H24">
        <v>130.08699999999999</v>
      </c>
      <c r="I24">
        <v>62.636000000000003</v>
      </c>
      <c r="J24">
        <v>13.744</v>
      </c>
      <c r="K24">
        <v>229.797</v>
      </c>
      <c r="L24">
        <v>19.933</v>
      </c>
      <c r="M24">
        <v>52.14</v>
      </c>
      <c r="N24">
        <v>19.814</v>
      </c>
      <c r="O24">
        <v>0.98899999999999999</v>
      </c>
      <c r="P24">
        <v>0</v>
      </c>
      <c r="Q24">
        <v>49.148000000000003</v>
      </c>
      <c r="R24">
        <v>72.7</v>
      </c>
      <c r="S24">
        <v>26.24</v>
      </c>
    </row>
    <row r="25" spans="1:19" ht="15" thickBot="1" x14ac:dyDescent="0.35">
      <c r="A25" t="s">
        <v>669</v>
      </c>
      <c r="B25">
        <v>393.61900000000003</v>
      </c>
      <c r="C25">
        <v>78.319000000000003</v>
      </c>
      <c r="D25">
        <v>46.234999999999999</v>
      </c>
      <c r="E25">
        <v>0.70499999999999996</v>
      </c>
      <c r="F25">
        <v>86.688999999999993</v>
      </c>
      <c r="G25">
        <v>49.045999999999999</v>
      </c>
      <c r="H25">
        <v>130.13900000000001</v>
      </c>
      <c r="I25">
        <v>62.918999999999997</v>
      </c>
      <c r="J25">
        <v>13.753</v>
      </c>
      <c r="K25">
        <v>230.20699999999999</v>
      </c>
      <c r="L25">
        <v>19.954999999999998</v>
      </c>
      <c r="M25">
        <v>52.143999999999998</v>
      </c>
      <c r="N25">
        <v>19.818999999999999</v>
      </c>
      <c r="O25">
        <v>0.97499999999999998</v>
      </c>
      <c r="P25">
        <v>0</v>
      </c>
      <c r="Q25">
        <v>48.997999999999998</v>
      </c>
      <c r="R25">
        <v>72.599999999999994</v>
      </c>
      <c r="S25">
        <v>26.24</v>
      </c>
    </row>
    <row r="26" spans="1:19" ht="15" thickBot="1" x14ac:dyDescent="0.35">
      <c r="A26" t="s">
        <v>30</v>
      </c>
      <c r="B26" s="1">
        <f t="shared" ref="B26:S26" si="0">AVERAGE(B6:B25)</f>
        <v>391.21165000000002</v>
      </c>
      <c r="C26" s="1">
        <f t="shared" si="0"/>
        <v>77.924000000000007</v>
      </c>
      <c r="D26" s="1">
        <f t="shared" si="0"/>
        <v>45.710199999999993</v>
      </c>
      <c r="E26" s="10">
        <f t="shared" si="0"/>
        <v>0.68615000000000015</v>
      </c>
      <c r="F26" s="1">
        <f t="shared" si="0"/>
        <v>86.985349999999997</v>
      </c>
      <c r="G26" s="1">
        <f t="shared" si="0"/>
        <v>47.657699999999991</v>
      </c>
      <c r="H26" s="10">
        <f t="shared" si="0"/>
        <v>129.84345000000002</v>
      </c>
      <c r="I26" s="1">
        <f t="shared" si="0"/>
        <v>62.785749999999993</v>
      </c>
      <c r="J26" s="8">
        <f t="shared" si="0"/>
        <v>13.747499999999999</v>
      </c>
      <c r="K26" s="1">
        <f t="shared" si="0"/>
        <v>230.02419999999998</v>
      </c>
      <c r="L26" s="1">
        <f t="shared" si="0"/>
        <v>19.942149999999998</v>
      </c>
      <c r="M26" s="1">
        <f t="shared" si="0"/>
        <v>52.171749999999996</v>
      </c>
      <c r="N26" s="1">
        <f t="shared" si="0"/>
        <v>19.815400000000004</v>
      </c>
      <c r="O26" s="1">
        <f t="shared" si="0"/>
        <v>0.97710000000000008</v>
      </c>
      <c r="P26" s="1">
        <f t="shared" si="0"/>
        <v>0</v>
      </c>
      <c r="Q26" s="1">
        <f t="shared" si="0"/>
        <v>48.731550000000013</v>
      </c>
      <c r="R26" s="1">
        <f t="shared" si="0"/>
        <v>72.894999999999996</v>
      </c>
      <c r="S26" s="1">
        <f t="shared" si="0"/>
        <v>26.240000000000002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34AA-7C6F-4035-A433-9A68F46A58CF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0.50369212962962961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1.6634570512374356</v>
      </c>
      <c r="M2" s="8">
        <f>100*(R36/(R36+Q36))</f>
        <v>49.655984922059055</v>
      </c>
      <c r="O2" s="9">
        <f>100*((E36*C2)/((E36*C2)+(K2*E2)))</f>
        <v>15.772266150983816</v>
      </c>
      <c r="Q2" s="10">
        <f>100*J36*(1/(((C2/3.6)*E36)+((E2/3.6)*K2)))</f>
        <v>3.2791254446592768E-3</v>
      </c>
      <c r="S2" s="6">
        <v>3.54</v>
      </c>
      <c r="U2" s="10">
        <f>100*((((G36*0.001*60)*(C36-D36)*(S2/3.6)))/(((C2/3.6)*E36)+((E2/3.6)*K2)))</f>
        <v>22.346948167715581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60</v>
      </c>
      <c r="B6">
        <v>146.078</v>
      </c>
      <c r="C6">
        <v>72.655000000000001</v>
      </c>
      <c r="D6">
        <v>42.02</v>
      </c>
      <c r="E6">
        <v>0.36499999999999999</v>
      </c>
      <c r="F6">
        <v>78.703000000000003</v>
      </c>
      <c r="G6">
        <v>3.464</v>
      </c>
      <c r="H6">
        <v>77.144000000000005</v>
      </c>
      <c r="I6">
        <v>51.98</v>
      </c>
      <c r="J6">
        <v>0</v>
      </c>
      <c r="K6">
        <v>229.89500000000001</v>
      </c>
      <c r="L6">
        <v>0</v>
      </c>
      <c r="M6">
        <v>52.798000000000002</v>
      </c>
      <c r="N6">
        <v>0</v>
      </c>
      <c r="O6">
        <v>0.89100000000000001</v>
      </c>
      <c r="P6">
        <v>0</v>
      </c>
      <c r="Q6">
        <v>36.027999999999999</v>
      </c>
      <c r="R6">
        <v>37.4</v>
      </c>
      <c r="S6">
        <v>12.154999999999999</v>
      </c>
    </row>
    <row r="7" spans="1:21" x14ac:dyDescent="0.3">
      <c r="A7" t="s">
        <v>61</v>
      </c>
      <c r="B7">
        <v>145.74600000000001</v>
      </c>
      <c r="C7">
        <v>72.596000000000004</v>
      </c>
      <c r="D7">
        <v>41.878999999999998</v>
      </c>
      <c r="E7">
        <v>0.40799999999999997</v>
      </c>
      <c r="F7">
        <v>78.22</v>
      </c>
      <c r="G7">
        <v>3.3780000000000001</v>
      </c>
      <c r="H7">
        <v>80.302000000000007</v>
      </c>
      <c r="I7">
        <v>52.103000000000002</v>
      </c>
      <c r="J7">
        <v>0</v>
      </c>
      <c r="K7">
        <v>229.68199999999999</v>
      </c>
      <c r="L7">
        <v>0</v>
      </c>
      <c r="M7">
        <v>52.853000000000002</v>
      </c>
      <c r="N7">
        <v>0</v>
      </c>
      <c r="O7">
        <v>0.876</v>
      </c>
      <c r="P7">
        <v>0</v>
      </c>
      <c r="Q7">
        <v>42.691000000000003</v>
      </c>
      <c r="R7">
        <v>36.1</v>
      </c>
      <c r="S7">
        <v>12.154999999999999</v>
      </c>
    </row>
    <row r="8" spans="1:21" x14ac:dyDescent="0.3">
      <c r="A8" t="s">
        <v>62</v>
      </c>
      <c r="B8">
        <v>145.91499999999999</v>
      </c>
      <c r="C8">
        <v>72.605999999999995</v>
      </c>
      <c r="D8">
        <v>41.764000000000003</v>
      </c>
      <c r="E8">
        <v>0.379</v>
      </c>
      <c r="F8">
        <v>78.66</v>
      </c>
      <c r="G8">
        <v>3.605</v>
      </c>
      <c r="H8">
        <v>80.042000000000002</v>
      </c>
      <c r="I8">
        <v>52.262999999999998</v>
      </c>
      <c r="J8">
        <v>1E-3</v>
      </c>
      <c r="K8">
        <v>229.96100000000001</v>
      </c>
      <c r="L8">
        <v>0</v>
      </c>
      <c r="M8">
        <v>53.128999999999998</v>
      </c>
      <c r="N8">
        <v>0</v>
      </c>
      <c r="O8">
        <v>0.88100000000000001</v>
      </c>
      <c r="P8">
        <v>0</v>
      </c>
      <c r="Q8">
        <v>40.156999999999996</v>
      </c>
      <c r="R8">
        <v>34.4</v>
      </c>
      <c r="S8">
        <v>12.154999999999999</v>
      </c>
    </row>
    <row r="9" spans="1:21" x14ac:dyDescent="0.3">
      <c r="A9" t="s">
        <v>63</v>
      </c>
      <c r="B9">
        <v>146.82900000000001</v>
      </c>
      <c r="C9">
        <v>72.638000000000005</v>
      </c>
      <c r="D9">
        <v>41.725000000000001</v>
      </c>
      <c r="E9">
        <v>0.28799999999999998</v>
      </c>
      <c r="F9">
        <v>79.150000000000006</v>
      </c>
      <c r="G9">
        <v>3.6970000000000001</v>
      </c>
      <c r="H9">
        <v>75.134</v>
      </c>
      <c r="I9">
        <v>51.996000000000002</v>
      </c>
      <c r="J9">
        <v>1E-3</v>
      </c>
      <c r="K9">
        <v>229.53399999999999</v>
      </c>
      <c r="L9">
        <v>0</v>
      </c>
      <c r="M9">
        <v>52.97</v>
      </c>
      <c r="N9">
        <v>0</v>
      </c>
      <c r="O9">
        <v>0.89200000000000002</v>
      </c>
      <c r="P9">
        <v>0</v>
      </c>
      <c r="Q9">
        <v>31.352</v>
      </c>
      <c r="R9">
        <v>34.799999999999997</v>
      </c>
      <c r="S9">
        <v>12.154999999999999</v>
      </c>
    </row>
    <row r="10" spans="1:21" x14ac:dyDescent="0.3">
      <c r="A10" t="s">
        <v>64</v>
      </c>
      <c r="B10">
        <v>146.56399999999999</v>
      </c>
      <c r="C10">
        <v>72.766999999999996</v>
      </c>
      <c r="D10">
        <v>41.79</v>
      </c>
      <c r="E10">
        <v>0.32200000000000001</v>
      </c>
      <c r="F10">
        <v>78.552000000000007</v>
      </c>
      <c r="G10">
        <v>3.3519999999999999</v>
      </c>
      <c r="H10">
        <v>73.786000000000001</v>
      </c>
      <c r="I10">
        <v>52.16</v>
      </c>
      <c r="J10">
        <v>0</v>
      </c>
      <c r="K10">
        <v>229.994</v>
      </c>
      <c r="L10">
        <v>0</v>
      </c>
      <c r="M10">
        <v>52.698</v>
      </c>
      <c r="N10">
        <v>0</v>
      </c>
      <c r="O10">
        <v>0.88500000000000001</v>
      </c>
      <c r="P10">
        <v>0</v>
      </c>
      <c r="Q10">
        <v>29.29</v>
      </c>
      <c r="R10">
        <v>36.700000000000003</v>
      </c>
      <c r="S10">
        <v>12.154999999999999</v>
      </c>
    </row>
    <row r="11" spans="1:21" x14ac:dyDescent="0.3">
      <c r="A11" t="s">
        <v>65</v>
      </c>
      <c r="B11">
        <v>146.56399999999999</v>
      </c>
      <c r="C11">
        <v>72.605999999999995</v>
      </c>
      <c r="D11">
        <v>41.872999999999998</v>
      </c>
      <c r="E11">
        <v>0.39500000000000002</v>
      </c>
      <c r="F11">
        <v>77.885000000000005</v>
      </c>
      <c r="G11">
        <v>3.1880000000000002</v>
      </c>
      <c r="H11">
        <v>80.679000000000002</v>
      </c>
      <c r="I11">
        <v>52.399000000000001</v>
      </c>
      <c r="J11">
        <v>2E-3</v>
      </c>
      <c r="K11">
        <v>229.66499999999999</v>
      </c>
      <c r="L11">
        <v>0</v>
      </c>
      <c r="M11">
        <v>52.683999999999997</v>
      </c>
      <c r="N11">
        <v>0</v>
      </c>
      <c r="O11">
        <v>0.878</v>
      </c>
      <c r="P11">
        <v>0</v>
      </c>
      <c r="Q11">
        <v>39.302999999999997</v>
      </c>
      <c r="R11">
        <v>37.200000000000003</v>
      </c>
      <c r="S11">
        <v>12.154999999999999</v>
      </c>
    </row>
    <row r="12" spans="1:21" x14ac:dyDescent="0.3">
      <c r="A12" t="s">
        <v>66</v>
      </c>
      <c r="B12">
        <v>145.703</v>
      </c>
      <c r="C12">
        <v>72.688000000000002</v>
      </c>
      <c r="D12">
        <v>41.85</v>
      </c>
      <c r="E12">
        <v>0.39100000000000001</v>
      </c>
      <c r="F12">
        <v>78.102000000000004</v>
      </c>
      <c r="G12">
        <v>3.4279999999999999</v>
      </c>
      <c r="H12">
        <v>81.686999999999998</v>
      </c>
      <c r="I12">
        <v>52.110999999999997</v>
      </c>
      <c r="J12">
        <v>0</v>
      </c>
      <c r="K12">
        <v>230.17400000000001</v>
      </c>
      <c r="L12">
        <v>0</v>
      </c>
      <c r="M12">
        <v>52.921999999999997</v>
      </c>
      <c r="N12">
        <v>0</v>
      </c>
      <c r="O12">
        <v>0.89400000000000002</v>
      </c>
      <c r="P12">
        <v>0</v>
      </c>
      <c r="Q12">
        <v>44.029000000000003</v>
      </c>
      <c r="R12">
        <v>35.299999999999997</v>
      </c>
      <c r="S12">
        <v>12.154999999999999</v>
      </c>
    </row>
    <row r="13" spans="1:21" x14ac:dyDescent="0.3">
      <c r="A13" t="s">
        <v>67</v>
      </c>
      <c r="B13">
        <v>145.447</v>
      </c>
      <c r="C13">
        <v>72.625</v>
      </c>
      <c r="D13">
        <v>41.79</v>
      </c>
      <c r="E13">
        <v>0.38</v>
      </c>
      <c r="F13">
        <v>78.620999999999995</v>
      </c>
      <c r="G13">
        <v>3.53</v>
      </c>
      <c r="H13">
        <v>79.075000000000003</v>
      </c>
      <c r="I13">
        <v>52.122999999999998</v>
      </c>
      <c r="J13">
        <v>1E-3</v>
      </c>
      <c r="K13">
        <v>229.68199999999999</v>
      </c>
      <c r="L13">
        <v>0</v>
      </c>
      <c r="M13">
        <v>53.265000000000001</v>
      </c>
      <c r="N13">
        <v>0</v>
      </c>
      <c r="O13">
        <v>0.88400000000000001</v>
      </c>
      <c r="P13">
        <v>0</v>
      </c>
      <c r="Q13">
        <v>37.154000000000003</v>
      </c>
      <c r="R13">
        <v>34.1</v>
      </c>
      <c r="S13">
        <v>12.154999999999999</v>
      </c>
    </row>
    <row r="14" spans="1:21" x14ac:dyDescent="0.3">
      <c r="A14" t="s">
        <v>68</v>
      </c>
      <c r="B14">
        <v>146.15799999999999</v>
      </c>
      <c r="C14">
        <v>72.674999999999997</v>
      </c>
      <c r="D14">
        <v>41.731000000000002</v>
      </c>
      <c r="E14">
        <v>0.29699999999999999</v>
      </c>
      <c r="F14">
        <v>78.039000000000001</v>
      </c>
      <c r="G14">
        <v>3.3849999999999998</v>
      </c>
      <c r="H14">
        <v>72.745000000000005</v>
      </c>
      <c r="I14">
        <v>52.468000000000004</v>
      </c>
      <c r="J14">
        <v>2E-3</v>
      </c>
      <c r="K14">
        <v>229.977</v>
      </c>
      <c r="L14">
        <v>0</v>
      </c>
      <c r="M14">
        <v>52.847000000000001</v>
      </c>
      <c r="N14">
        <v>0</v>
      </c>
      <c r="O14">
        <v>0.92100000000000004</v>
      </c>
      <c r="P14">
        <v>0</v>
      </c>
      <c r="Q14">
        <v>27.321999999999999</v>
      </c>
      <c r="R14">
        <v>35.1</v>
      </c>
      <c r="S14">
        <v>12.154999999999999</v>
      </c>
    </row>
    <row r="15" spans="1:21" x14ac:dyDescent="0.3">
      <c r="A15" t="s">
        <v>69</v>
      </c>
      <c r="B15">
        <v>147.30699999999999</v>
      </c>
      <c r="C15">
        <v>72.605999999999995</v>
      </c>
      <c r="D15">
        <v>41.764000000000003</v>
      </c>
      <c r="E15">
        <v>0.33800000000000002</v>
      </c>
      <c r="F15">
        <v>77.054000000000002</v>
      </c>
      <c r="G15">
        <v>2.899</v>
      </c>
      <c r="H15">
        <v>73.733999999999995</v>
      </c>
      <c r="I15">
        <v>52.045000000000002</v>
      </c>
      <c r="J15">
        <v>4.0000000000000001E-3</v>
      </c>
      <c r="K15">
        <v>229.66499999999999</v>
      </c>
      <c r="L15">
        <v>0</v>
      </c>
      <c r="M15">
        <v>52.67</v>
      </c>
      <c r="N15">
        <v>0</v>
      </c>
      <c r="O15">
        <v>0.85199999999999998</v>
      </c>
      <c r="P15">
        <v>0</v>
      </c>
      <c r="Q15">
        <v>30.545999999999999</v>
      </c>
      <c r="R15">
        <v>37.5</v>
      </c>
      <c r="S15">
        <v>12.154999999999999</v>
      </c>
    </row>
    <row r="16" spans="1:21" x14ac:dyDescent="0.3">
      <c r="A16" t="s">
        <v>70</v>
      </c>
      <c r="B16">
        <v>146.334</v>
      </c>
      <c r="C16">
        <v>72.632000000000005</v>
      </c>
      <c r="D16">
        <v>41.734999999999999</v>
      </c>
      <c r="E16">
        <v>0.41099999999999998</v>
      </c>
      <c r="F16">
        <v>78.631</v>
      </c>
      <c r="G16">
        <v>3.1859999999999999</v>
      </c>
      <c r="H16">
        <v>81.691999999999993</v>
      </c>
      <c r="I16">
        <v>51.970999999999997</v>
      </c>
      <c r="J16">
        <v>1E-3</v>
      </c>
      <c r="K16">
        <v>230.02699999999999</v>
      </c>
      <c r="L16">
        <v>0</v>
      </c>
      <c r="M16">
        <v>52.771999999999998</v>
      </c>
      <c r="N16">
        <v>0</v>
      </c>
      <c r="O16">
        <v>0.88300000000000001</v>
      </c>
      <c r="P16">
        <v>0</v>
      </c>
      <c r="Q16">
        <v>41.473999999999997</v>
      </c>
      <c r="R16">
        <v>37.299999999999997</v>
      </c>
      <c r="S16">
        <v>12.154999999999999</v>
      </c>
    </row>
    <row r="17" spans="1:19" x14ac:dyDescent="0.3">
      <c r="A17" t="s">
        <v>71</v>
      </c>
      <c r="B17">
        <v>145.56899999999999</v>
      </c>
      <c r="C17">
        <v>72.655000000000001</v>
      </c>
      <c r="D17">
        <v>41.738</v>
      </c>
      <c r="E17">
        <v>0.44900000000000001</v>
      </c>
      <c r="F17">
        <v>78.010000000000005</v>
      </c>
      <c r="G17">
        <v>3.5659999999999998</v>
      </c>
      <c r="H17">
        <v>81.055999999999997</v>
      </c>
      <c r="I17">
        <v>52.311999999999998</v>
      </c>
      <c r="J17">
        <v>0</v>
      </c>
      <c r="K17">
        <v>229.797</v>
      </c>
      <c r="L17">
        <v>0</v>
      </c>
      <c r="M17">
        <v>53.033000000000001</v>
      </c>
      <c r="N17">
        <v>0</v>
      </c>
      <c r="O17">
        <v>0.88700000000000001</v>
      </c>
      <c r="P17">
        <v>0</v>
      </c>
      <c r="Q17">
        <v>42.488999999999997</v>
      </c>
      <c r="R17">
        <v>35</v>
      </c>
      <c r="S17">
        <v>12.154999999999999</v>
      </c>
    </row>
    <row r="18" spans="1:19" x14ac:dyDescent="0.3">
      <c r="A18" t="s">
        <v>72</v>
      </c>
      <c r="B18">
        <v>145.83699999999999</v>
      </c>
      <c r="C18">
        <v>72.638000000000005</v>
      </c>
      <c r="D18">
        <v>41.682000000000002</v>
      </c>
      <c r="E18">
        <v>0.35799999999999998</v>
      </c>
      <c r="F18">
        <v>78.887</v>
      </c>
      <c r="G18">
        <v>3.51</v>
      </c>
      <c r="H18">
        <v>75.88</v>
      </c>
      <c r="I18">
        <v>52.222000000000001</v>
      </c>
      <c r="J18">
        <v>0</v>
      </c>
      <c r="K18">
        <v>229.994</v>
      </c>
      <c r="L18">
        <v>2E-3</v>
      </c>
      <c r="M18">
        <v>53.24</v>
      </c>
      <c r="N18">
        <v>0</v>
      </c>
      <c r="O18">
        <v>0.875</v>
      </c>
      <c r="P18">
        <v>0</v>
      </c>
      <c r="Q18">
        <v>32.9</v>
      </c>
      <c r="R18">
        <v>34.5</v>
      </c>
      <c r="S18">
        <v>12.154999999999999</v>
      </c>
    </row>
    <row r="19" spans="1:19" x14ac:dyDescent="0.3">
      <c r="A19" t="s">
        <v>73</v>
      </c>
      <c r="B19">
        <v>146.72399999999999</v>
      </c>
      <c r="C19">
        <v>72.625</v>
      </c>
      <c r="D19">
        <v>41.613</v>
      </c>
      <c r="E19">
        <v>0.26900000000000002</v>
      </c>
      <c r="F19">
        <v>78.525999999999996</v>
      </c>
      <c r="G19">
        <v>3.359</v>
      </c>
      <c r="H19">
        <v>72.915999999999997</v>
      </c>
      <c r="I19">
        <v>51.939</v>
      </c>
      <c r="J19">
        <v>1E-3</v>
      </c>
      <c r="K19">
        <v>229.68199999999999</v>
      </c>
      <c r="L19">
        <v>1.2E-2</v>
      </c>
      <c r="M19">
        <v>52.843000000000004</v>
      </c>
      <c r="N19">
        <v>0</v>
      </c>
      <c r="O19">
        <v>0.86399999999999999</v>
      </c>
      <c r="P19">
        <v>0</v>
      </c>
      <c r="Q19">
        <v>25.687999999999999</v>
      </c>
      <c r="R19">
        <v>36.299999999999997</v>
      </c>
      <c r="S19">
        <v>12.154999999999999</v>
      </c>
    </row>
    <row r="20" spans="1:19" x14ac:dyDescent="0.3">
      <c r="A20" t="s">
        <v>74</v>
      </c>
      <c r="B20">
        <v>147.05099999999999</v>
      </c>
      <c r="C20">
        <v>72.658000000000001</v>
      </c>
      <c r="D20">
        <v>41.655999999999999</v>
      </c>
      <c r="E20">
        <v>0.33900000000000002</v>
      </c>
      <c r="F20">
        <v>77.869</v>
      </c>
      <c r="G20">
        <v>3.1070000000000002</v>
      </c>
      <c r="H20">
        <v>79.284999999999997</v>
      </c>
      <c r="I20">
        <v>52.337000000000003</v>
      </c>
      <c r="J20">
        <v>1E-3</v>
      </c>
      <c r="K20">
        <v>230.01</v>
      </c>
      <c r="L20">
        <v>6.0000000000000001E-3</v>
      </c>
      <c r="M20">
        <v>52.765000000000001</v>
      </c>
      <c r="N20">
        <v>6.0000000000000001E-3</v>
      </c>
      <c r="O20">
        <v>0.88100000000000001</v>
      </c>
      <c r="P20">
        <v>0</v>
      </c>
      <c r="Q20">
        <v>36.590000000000003</v>
      </c>
      <c r="R20">
        <v>38</v>
      </c>
      <c r="S20">
        <v>12.154999999999999</v>
      </c>
    </row>
    <row r="21" spans="1:19" x14ac:dyDescent="0.3">
      <c r="A21" t="s">
        <v>75</v>
      </c>
      <c r="B21">
        <v>146.126</v>
      </c>
      <c r="C21">
        <v>72.629000000000005</v>
      </c>
      <c r="D21">
        <v>41.665999999999997</v>
      </c>
      <c r="E21">
        <v>0.44700000000000001</v>
      </c>
      <c r="F21">
        <v>78.331999999999994</v>
      </c>
      <c r="G21">
        <v>3.1760000000000002</v>
      </c>
      <c r="H21">
        <v>82.751999999999995</v>
      </c>
      <c r="I21">
        <v>52.243000000000002</v>
      </c>
      <c r="J21">
        <v>1E-3</v>
      </c>
      <c r="K21">
        <v>229.78</v>
      </c>
      <c r="L21">
        <v>5.0000000000000001E-3</v>
      </c>
      <c r="M21">
        <v>52.768999999999998</v>
      </c>
      <c r="N21">
        <v>0</v>
      </c>
      <c r="O21">
        <v>0.92200000000000004</v>
      </c>
      <c r="P21">
        <v>0</v>
      </c>
      <c r="Q21">
        <v>45.101999999999997</v>
      </c>
      <c r="R21">
        <v>36.200000000000003</v>
      </c>
      <c r="S21">
        <v>12.154999999999999</v>
      </c>
    </row>
    <row r="22" spans="1:19" x14ac:dyDescent="0.3">
      <c r="A22" t="s">
        <v>76</v>
      </c>
      <c r="B22">
        <v>146.458</v>
      </c>
      <c r="C22">
        <v>72.622</v>
      </c>
      <c r="D22">
        <v>41.543999999999997</v>
      </c>
      <c r="E22">
        <v>0.41799999999999998</v>
      </c>
      <c r="F22">
        <v>78.597999999999999</v>
      </c>
      <c r="G22">
        <v>3.605</v>
      </c>
      <c r="H22">
        <v>79.978999999999999</v>
      </c>
      <c r="I22">
        <v>54.743000000000002</v>
      </c>
      <c r="J22">
        <v>0</v>
      </c>
      <c r="K22">
        <v>229.977</v>
      </c>
      <c r="L22">
        <v>8.0000000000000002E-3</v>
      </c>
      <c r="M22">
        <v>53.19</v>
      </c>
      <c r="N22">
        <v>0</v>
      </c>
      <c r="O22">
        <v>0.877</v>
      </c>
      <c r="P22">
        <v>0</v>
      </c>
      <c r="Q22">
        <v>40.008000000000003</v>
      </c>
      <c r="R22">
        <v>34.1</v>
      </c>
      <c r="S22">
        <v>12.154999999999999</v>
      </c>
    </row>
    <row r="23" spans="1:19" x14ac:dyDescent="0.3">
      <c r="A23" t="s">
        <v>77</v>
      </c>
      <c r="B23">
        <v>146.55600000000001</v>
      </c>
      <c r="C23">
        <v>72.641999999999996</v>
      </c>
      <c r="D23">
        <v>41.116999999999997</v>
      </c>
      <c r="E23">
        <v>0.29399999999999998</v>
      </c>
      <c r="F23">
        <v>78.850999999999999</v>
      </c>
      <c r="G23">
        <v>3.2570000000000001</v>
      </c>
      <c r="H23">
        <v>73.138999999999996</v>
      </c>
      <c r="I23">
        <v>52.393999999999998</v>
      </c>
      <c r="J23">
        <v>2E-3</v>
      </c>
      <c r="K23">
        <v>229.714</v>
      </c>
      <c r="L23">
        <v>1E-3</v>
      </c>
      <c r="M23">
        <v>52.923999999999999</v>
      </c>
      <c r="N23">
        <v>0</v>
      </c>
      <c r="O23">
        <v>0.88600000000000001</v>
      </c>
      <c r="P23">
        <v>0</v>
      </c>
      <c r="Q23">
        <v>28.15</v>
      </c>
      <c r="R23">
        <v>34.700000000000003</v>
      </c>
      <c r="S23">
        <v>12.154999999999999</v>
      </c>
    </row>
    <row r="24" spans="1:19" x14ac:dyDescent="0.3">
      <c r="A24" t="s">
        <v>78</v>
      </c>
      <c r="B24">
        <v>147.59200000000001</v>
      </c>
      <c r="C24">
        <v>72.622</v>
      </c>
      <c r="D24">
        <v>41.436</v>
      </c>
      <c r="E24">
        <v>0.27800000000000002</v>
      </c>
      <c r="F24">
        <v>78.344999999999999</v>
      </c>
      <c r="G24">
        <v>3.1040000000000001</v>
      </c>
      <c r="H24">
        <v>72.971000000000004</v>
      </c>
      <c r="I24">
        <v>52.218000000000004</v>
      </c>
      <c r="J24">
        <v>2E-3</v>
      </c>
      <c r="K24">
        <v>229.994</v>
      </c>
      <c r="L24">
        <v>0</v>
      </c>
      <c r="M24">
        <v>52.776000000000003</v>
      </c>
      <c r="N24">
        <v>0</v>
      </c>
      <c r="O24">
        <v>0.88</v>
      </c>
      <c r="P24">
        <v>0</v>
      </c>
      <c r="Q24">
        <v>28.829000000000001</v>
      </c>
      <c r="R24">
        <v>37.4</v>
      </c>
      <c r="S24">
        <v>12.154999999999999</v>
      </c>
    </row>
    <row r="25" spans="1:19" x14ac:dyDescent="0.3">
      <c r="A25" t="s">
        <v>79</v>
      </c>
      <c r="B25">
        <v>146.654</v>
      </c>
      <c r="C25">
        <v>72.591999999999999</v>
      </c>
      <c r="D25">
        <v>41.429000000000002</v>
      </c>
      <c r="E25">
        <v>0.38500000000000001</v>
      </c>
      <c r="F25">
        <v>79.103999999999999</v>
      </c>
      <c r="G25">
        <v>3.5150000000000001</v>
      </c>
      <c r="H25">
        <v>82.82</v>
      </c>
      <c r="I25">
        <v>51.93</v>
      </c>
      <c r="J25">
        <v>1E-3</v>
      </c>
      <c r="K25">
        <v>229.73099999999999</v>
      </c>
      <c r="L25">
        <v>4.0000000000000001E-3</v>
      </c>
      <c r="M25">
        <v>52.828000000000003</v>
      </c>
      <c r="N25">
        <v>0</v>
      </c>
      <c r="O25">
        <v>0.873</v>
      </c>
      <c r="P25">
        <v>0</v>
      </c>
      <c r="Q25">
        <v>42.024999999999999</v>
      </c>
      <c r="R25">
        <v>37.700000000000003</v>
      </c>
      <c r="S25">
        <v>12.154999999999999</v>
      </c>
    </row>
    <row r="26" spans="1:19" x14ac:dyDescent="0.3">
      <c r="A26" t="s">
        <v>80</v>
      </c>
      <c r="B26">
        <v>146.10499999999999</v>
      </c>
      <c r="C26">
        <v>72.608999999999995</v>
      </c>
      <c r="D26">
        <v>41.432000000000002</v>
      </c>
      <c r="E26">
        <v>0.434</v>
      </c>
      <c r="F26">
        <v>77.75</v>
      </c>
      <c r="G26">
        <v>3.3109999999999999</v>
      </c>
      <c r="H26">
        <v>82.540999999999997</v>
      </c>
      <c r="I26">
        <v>52.381999999999998</v>
      </c>
      <c r="J26">
        <v>1E-3</v>
      </c>
      <c r="K26">
        <v>229.87899999999999</v>
      </c>
      <c r="L26">
        <v>1E-3</v>
      </c>
      <c r="M26">
        <v>53.003</v>
      </c>
      <c r="N26">
        <v>0</v>
      </c>
      <c r="O26">
        <v>0.88800000000000001</v>
      </c>
      <c r="P26">
        <v>0</v>
      </c>
      <c r="Q26">
        <v>44.302</v>
      </c>
      <c r="R26">
        <v>35</v>
      </c>
      <c r="S26">
        <v>12.154999999999999</v>
      </c>
    </row>
    <row r="27" spans="1:19" x14ac:dyDescent="0.3">
      <c r="A27" t="s">
        <v>81</v>
      </c>
      <c r="B27">
        <v>146.12</v>
      </c>
      <c r="C27">
        <v>72.632000000000005</v>
      </c>
      <c r="D27">
        <v>41.530999999999999</v>
      </c>
      <c r="E27">
        <v>0.378</v>
      </c>
      <c r="F27">
        <v>78.233000000000004</v>
      </c>
      <c r="G27">
        <v>3.4750000000000001</v>
      </c>
      <c r="H27">
        <v>77.117999999999995</v>
      </c>
      <c r="I27">
        <v>52.316000000000003</v>
      </c>
      <c r="J27">
        <v>2E-3</v>
      </c>
      <c r="K27">
        <v>229.78</v>
      </c>
      <c r="L27">
        <v>3.0000000000000001E-3</v>
      </c>
      <c r="M27">
        <v>53.332000000000001</v>
      </c>
      <c r="N27">
        <v>0</v>
      </c>
      <c r="O27">
        <v>0.88700000000000001</v>
      </c>
      <c r="P27">
        <v>0</v>
      </c>
      <c r="Q27">
        <v>34.353999999999999</v>
      </c>
      <c r="R27">
        <v>33.9</v>
      </c>
      <c r="S27">
        <v>12.154999999999999</v>
      </c>
    </row>
    <row r="28" spans="1:19" x14ac:dyDescent="0.3">
      <c r="A28" t="s">
        <v>82</v>
      </c>
      <c r="B28">
        <v>146.97999999999999</v>
      </c>
      <c r="C28">
        <v>72.608999999999995</v>
      </c>
      <c r="D28">
        <v>41.646000000000001</v>
      </c>
      <c r="E28">
        <v>0.28999999999999998</v>
      </c>
      <c r="F28">
        <v>78.867000000000004</v>
      </c>
      <c r="G28">
        <v>3.3769999999999998</v>
      </c>
      <c r="H28">
        <v>72.727999999999994</v>
      </c>
      <c r="I28">
        <v>51.996000000000002</v>
      </c>
      <c r="J28">
        <v>1E-3</v>
      </c>
      <c r="K28">
        <v>229.96100000000001</v>
      </c>
      <c r="L28">
        <v>3.0000000000000001E-3</v>
      </c>
      <c r="M28">
        <v>52.823999999999998</v>
      </c>
      <c r="N28">
        <v>0</v>
      </c>
      <c r="O28">
        <v>0.88100000000000001</v>
      </c>
      <c r="P28">
        <v>0</v>
      </c>
      <c r="Q28">
        <v>25.423999999999999</v>
      </c>
      <c r="R28">
        <v>35.9</v>
      </c>
      <c r="S28">
        <v>12.154999999999999</v>
      </c>
    </row>
    <row r="29" spans="1:19" x14ac:dyDescent="0.3">
      <c r="A29" t="s">
        <v>83</v>
      </c>
      <c r="B29">
        <v>147.28100000000001</v>
      </c>
      <c r="C29">
        <v>72.599000000000004</v>
      </c>
      <c r="D29">
        <v>41.646000000000001</v>
      </c>
      <c r="E29">
        <v>0.33500000000000002</v>
      </c>
      <c r="F29">
        <v>77.688000000000002</v>
      </c>
      <c r="G29">
        <v>2.992</v>
      </c>
      <c r="H29">
        <v>78.867000000000004</v>
      </c>
      <c r="I29">
        <v>52.444000000000003</v>
      </c>
      <c r="J29">
        <v>0</v>
      </c>
      <c r="K29">
        <v>229.797</v>
      </c>
      <c r="L29">
        <v>8.9999999999999993E-3</v>
      </c>
      <c r="M29">
        <v>52.707000000000001</v>
      </c>
      <c r="N29">
        <v>0</v>
      </c>
      <c r="O29">
        <v>0.88800000000000001</v>
      </c>
      <c r="P29">
        <v>0</v>
      </c>
      <c r="Q29">
        <v>35.695999999999998</v>
      </c>
      <c r="R29">
        <v>38.1</v>
      </c>
      <c r="S29">
        <v>12.154999999999999</v>
      </c>
    </row>
    <row r="30" spans="1:19" x14ac:dyDescent="0.3">
      <c r="A30" t="s">
        <v>84</v>
      </c>
      <c r="B30">
        <v>145.97900000000001</v>
      </c>
      <c r="C30">
        <v>72.629000000000005</v>
      </c>
      <c r="D30">
        <v>41.652000000000001</v>
      </c>
      <c r="E30">
        <v>0.44</v>
      </c>
      <c r="F30">
        <v>78.781999999999996</v>
      </c>
      <c r="G30">
        <v>3.1960000000000002</v>
      </c>
      <c r="H30">
        <v>82.989000000000004</v>
      </c>
      <c r="I30">
        <v>52.871000000000002</v>
      </c>
      <c r="J30">
        <v>1E-3</v>
      </c>
      <c r="K30">
        <v>229.96100000000001</v>
      </c>
      <c r="L30">
        <v>3.0000000000000001E-3</v>
      </c>
      <c r="M30">
        <v>52.658000000000001</v>
      </c>
      <c r="N30">
        <v>0</v>
      </c>
      <c r="O30">
        <v>0.88100000000000001</v>
      </c>
      <c r="P30">
        <v>0</v>
      </c>
      <c r="Q30">
        <v>44.863</v>
      </c>
      <c r="R30">
        <v>36.5</v>
      </c>
      <c r="S30">
        <v>12.154999999999999</v>
      </c>
    </row>
    <row r="31" spans="1:19" x14ac:dyDescent="0.3">
      <c r="A31" t="s">
        <v>85</v>
      </c>
      <c r="B31">
        <v>145.596</v>
      </c>
      <c r="C31">
        <v>72.543000000000006</v>
      </c>
      <c r="D31">
        <v>41.646000000000001</v>
      </c>
      <c r="E31">
        <v>0.41799999999999998</v>
      </c>
      <c r="F31">
        <v>78.308999999999997</v>
      </c>
      <c r="G31">
        <v>3.2850000000000001</v>
      </c>
      <c r="H31">
        <v>81.629000000000005</v>
      </c>
      <c r="I31">
        <v>52.128</v>
      </c>
      <c r="J31">
        <v>0</v>
      </c>
      <c r="K31">
        <v>229.87899999999999</v>
      </c>
      <c r="L31">
        <v>6.0000000000000001E-3</v>
      </c>
      <c r="M31">
        <v>53.091999999999999</v>
      </c>
      <c r="N31">
        <v>0</v>
      </c>
      <c r="O31">
        <v>0.88200000000000001</v>
      </c>
      <c r="P31">
        <v>0</v>
      </c>
      <c r="Q31">
        <v>42.210999999999999</v>
      </c>
      <c r="R31">
        <v>34.1</v>
      </c>
      <c r="S31">
        <v>12.154999999999999</v>
      </c>
    </row>
    <row r="32" spans="1:19" x14ac:dyDescent="0.3">
      <c r="A32" t="s">
        <v>86</v>
      </c>
      <c r="B32">
        <v>146.108</v>
      </c>
      <c r="C32">
        <v>72.578999999999994</v>
      </c>
      <c r="D32">
        <v>41.603000000000002</v>
      </c>
      <c r="E32">
        <v>0.32500000000000001</v>
      </c>
      <c r="F32">
        <v>79.132999999999996</v>
      </c>
      <c r="G32">
        <v>3.351</v>
      </c>
      <c r="H32">
        <v>73.619</v>
      </c>
      <c r="I32">
        <v>52.456000000000003</v>
      </c>
      <c r="J32">
        <v>0</v>
      </c>
      <c r="K32">
        <v>229.78</v>
      </c>
      <c r="L32">
        <v>3.0000000000000001E-3</v>
      </c>
      <c r="M32">
        <v>53.128999999999998</v>
      </c>
      <c r="N32">
        <v>0</v>
      </c>
      <c r="O32">
        <v>0.90900000000000003</v>
      </c>
      <c r="P32">
        <v>0</v>
      </c>
      <c r="Q32">
        <v>29.446000000000002</v>
      </c>
      <c r="R32">
        <v>34.200000000000003</v>
      </c>
      <c r="S32">
        <v>12.154999999999999</v>
      </c>
    </row>
    <row r="33" spans="1:19" x14ac:dyDescent="0.3">
      <c r="A33" t="s">
        <v>87</v>
      </c>
      <c r="B33">
        <v>147.69499999999999</v>
      </c>
      <c r="C33">
        <v>72.602000000000004</v>
      </c>
      <c r="D33">
        <v>41.58</v>
      </c>
      <c r="E33">
        <v>0.307</v>
      </c>
      <c r="F33">
        <v>78.805000000000007</v>
      </c>
      <c r="G33">
        <v>3.4260000000000002</v>
      </c>
      <c r="H33">
        <v>72.927000000000007</v>
      </c>
      <c r="I33">
        <v>52.078000000000003</v>
      </c>
      <c r="J33">
        <v>1E-3</v>
      </c>
      <c r="K33">
        <v>229.96100000000001</v>
      </c>
      <c r="L33">
        <v>7.0000000000000001E-3</v>
      </c>
      <c r="M33">
        <v>52.713000000000001</v>
      </c>
      <c r="N33">
        <v>0</v>
      </c>
      <c r="O33">
        <v>0.90800000000000003</v>
      </c>
      <c r="P33">
        <v>0</v>
      </c>
      <c r="Q33">
        <v>28.327000000000002</v>
      </c>
      <c r="R33">
        <v>37</v>
      </c>
      <c r="S33">
        <v>12.154999999999999</v>
      </c>
    </row>
    <row r="34" spans="1:19" x14ac:dyDescent="0.3">
      <c r="A34" t="s">
        <v>88</v>
      </c>
      <c r="B34">
        <v>146.70699999999999</v>
      </c>
      <c r="C34">
        <v>72.635000000000005</v>
      </c>
      <c r="D34">
        <v>41.741</v>
      </c>
      <c r="E34">
        <v>0.372</v>
      </c>
      <c r="F34">
        <v>78.656999999999996</v>
      </c>
      <c r="G34">
        <v>3.5619999999999998</v>
      </c>
      <c r="H34">
        <v>82.629000000000005</v>
      </c>
      <c r="I34">
        <v>52.250999999999998</v>
      </c>
      <c r="J34">
        <v>0</v>
      </c>
      <c r="K34">
        <v>229.78</v>
      </c>
      <c r="L34">
        <v>0</v>
      </c>
      <c r="M34">
        <v>52.767000000000003</v>
      </c>
      <c r="N34">
        <v>0</v>
      </c>
      <c r="O34">
        <v>0.87</v>
      </c>
      <c r="P34">
        <v>0</v>
      </c>
      <c r="Q34">
        <v>41.142000000000003</v>
      </c>
      <c r="R34">
        <v>37.6</v>
      </c>
      <c r="S34">
        <v>12.154999999999999</v>
      </c>
    </row>
    <row r="35" spans="1:19" ht="15" thickBot="1" x14ac:dyDescent="0.35">
      <c r="A35" t="s">
        <v>89</v>
      </c>
      <c r="B35">
        <v>145.56399999999999</v>
      </c>
      <c r="C35">
        <v>72.641999999999996</v>
      </c>
      <c r="D35">
        <v>41.750999999999998</v>
      </c>
      <c r="E35" s="12">
        <v>0.439</v>
      </c>
      <c r="F35">
        <v>78.180999999999997</v>
      </c>
      <c r="G35">
        <v>3.444</v>
      </c>
      <c r="H35">
        <v>83.108999999999995</v>
      </c>
      <c r="I35">
        <v>52.362000000000002</v>
      </c>
      <c r="J35">
        <v>1E-3</v>
      </c>
      <c r="K35">
        <v>229.977</v>
      </c>
      <c r="L35">
        <v>0</v>
      </c>
      <c r="M35">
        <v>52.878999999999998</v>
      </c>
      <c r="N35">
        <v>0</v>
      </c>
      <c r="O35">
        <v>0.88600000000000001</v>
      </c>
      <c r="P35">
        <v>0</v>
      </c>
      <c r="Q35">
        <v>45.335000000000001</v>
      </c>
      <c r="R35">
        <v>35.200000000000003</v>
      </c>
      <c r="S35">
        <v>12.154999999999999</v>
      </c>
    </row>
    <row r="36" spans="1:19" ht="15" thickBot="1" x14ac:dyDescent="0.35">
      <c r="A36" t="s">
        <v>30</v>
      </c>
      <c r="B36" s="1">
        <f>AVERAGE(B6:B35)</f>
        <v>146.37823333333336</v>
      </c>
      <c r="C36" s="1">
        <f>AVERAGE(C6:C35)</f>
        <v>72.628533333333337</v>
      </c>
      <c r="D36" s="11">
        <f t="shared" ref="D36:S36" si="0">AVERAGE(D6:D35)</f>
        <v>41.667666666666648</v>
      </c>
      <c r="E36" s="13">
        <f t="shared" si="0"/>
        <v>0.36496666666666661</v>
      </c>
      <c r="F36" s="1">
        <f t="shared" si="0"/>
        <v>78.41813333333333</v>
      </c>
      <c r="G36" s="1">
        <f t="shared" si="0"/>
        <v>3.3576666666666659</v>
      </c>
      <c r="H36" s="10">
        <f t="shared" si="0"/>
        <v>78.16579999999999</v>
      </c>
      <c r="I36" s="1">
        <f t="shared" si="0"/>
        <v>52.308033333333341</v>
      </c>
      <c r="J36" s="8">
        <f t="shared" si="0"/>
        <v>9.000000000000003E-4</v>
      </c>
      <c r="K36" s="1">
        <f t="shared" si="0"/>
        <v>229.85633333333328</v>
      </c>
      <c r="L36" s="1">
        <f t="shared" si="0"/>
        <v>2.4333333333333342E-3</v>
      </c>
      <c r="M36" s="1">
        <f t="shared" si="0"/>
        <v>52.902666666666661</v>
      </c>
      <c r="N36" s="1">
        <f t="shared" si="0"/>
        <v>2.0000000000000001E-4</v>
      </c>
      <c r="O36" s="1">
        <f t="shared" si="0"/>
        <v>0.88540000000000041</v>
      </c>
      <c r="P36" s="1">
        <f t="shared" si="0"/>
        <v>0</v>
      </c>
      <c r="Q36" s="1">
        <f t="shared" si="0"/>
        <v>36.407566666666661</v>
      </c>
      <c r="R36" s="1">
        <f t="shared" si="0"/>
        <v>35.910000000000004</v>
      </c>
      <c r="S36" s="1">
        <f t="shared" si="0"/>
        <v>12.154999999999992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949A-DB61-4BD0-83DE-56F5658CC685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0.48901620370370369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1.8730848682220635</v>
      </c>
      <c r="M2" s="8">
        <f>100*(R36/(R36+Q36))</f>
        <v>49.835684159821362</v>
      </c>
      <c r="O2" s="9">
        <f>100*((E36*C2)/((E36*C2)+(K2*E2)))</f>
        <v>16.179974422205319</v>
      </c>
      <c r="Q2" s="10">
        <f>100*J36*(1/(((C2/3.6)*E36)+((E2/3.6)*K2)))</f>
        <v>6.4527613125053129</v>
      </c>
      <c r="S2" s="6">
        <v>3.54</v>
      </c>
      <c r="U2" s="10">
        <f>100*((((G36*0.001*60)*(C36-D36)*(S2/3.6)))/(((C2/3.6)*E36)+((E2/3.6)*K2)))</f>
        <v>27.140987259252565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0</v>
      </c>
      <c r="B6">
        <v>178.89099999999999</v>
      </c>
      <c r="C6">
        <v>75.132000000000005</v>
      </c>
      <c r="D6">
        <v>43.606999999999999</v>
      </c>
      <c r="E6">
        <v>0.38500000000000001</v>
      </c>
      <c r="F6">
        <v>77.944000000000003</v>
      </c>
      <c r="G6">
        <v>4.6479999999999997</v>
      </c>
      <c r="H6">
        <v>81.834999999999994</v>
      </c>
      <c r="I6">
        <v>51.368000000000002</v>
      </c>
      <c r="J6">
        <v>2.0059999999999998</v>
      </c>
      <c r="K6">
        <v>230.04300000000001</v>
      </c>
      <c r="L6">
        <v>2.899</v>
      </c>
      <c r="M6">
        <v>53.366</v>
      </c>
      <c r="N6">
        <v>2.9249999999999998</v>
      </c>
      <c r="O6">
        <v>0.90600000000000003</v>
      </c>
      <c r="P6">
        <v>0</v>
      </c>
      <c r="Q6">
        <v>46.35</v>
      </c>
      <c r="R6">
        <v>39.4</v>
      </c>
      <c r="S6">
        <v>16.460999999999999</v>
      </c>
    </row>
    <row r="7" spans="1:21" x14ac:dyDescent="0.3">
      <c r="A7" t="s">
        <v>1</v>
      </c>
      <c r="B7">
        <v>180.233</v>
      </c>
      <c r="C7">
        <v>75.147999999999996</v>
      </c>
      <c r="D7">
        <v>43.728999999999999</v>
      </c>
      <c r="E7">
        <v>0.30299999999999999</v>
      </c>
      <c r="F7">
        <v>78.637</v>
      </c>
      <c r="G7">
        <v>4.7629999999999999</v>
      </c>
      <c r="H7">
        <v>78.813000000000002</v>
      </c>
      <c r="I7">
        <v>51.048000000000002</v>
      </c>
      <c r="J7">
        <v>2.0099999999999998</v>
      </c>
      <c r="K7">
        <v>230.04300000000001</v>
      </c>
      <c r="L7">
        <v>2.9119999999999999</v>
      </c>
      <c r="M7">
        <v>52.609000000000002</v>
      </c>
      <c r="N7">
        <v>2.9079999999999999</v>
      </c>
      <c r="O7">
        <v>0.90100000000000002</v>
      </c>
      <c r="P7">
        <v>0</v>
      </c>
      <c r="Q7">
        <v>27.460999999999999</v>
      </c>
      <c r="R7">
        <v>42.4</v>
      </c>
      <c r="S7">
        <v>16.460999999999999</v>
      </c>
    </row>
    <row r="8" spans="1:21" x14ac:dyDescent="0.3">
      <c r="A8" t="s">
        <v>2</v>
      </c>
      <c r="B8">
        <v>178.16900000000001</v>
      </c>
      <c r="C8">
        <v>75.105999999999995</v>
      </c>
      <c r="D8">
        <v>43.765000000000001</v>
      </c>
      <c r="E8">
        <v>0.42899999999999999</v>
      </c>
      <c r="F8">
        <v>79.298000000000002</v>
      </c>
      <c r="G8">
        <v>4.7270000000000003</v>
      </c>
      <c r="H8">
        <v>92.396000000000001</v>
      </c>
      <c r="I8">
        <v>51.034999999999997</v>
      </c>
      <c r="J8">
        <v>2.0070000000000001</v>
      </c>
      <c r="K8">
        <v>230.142</v>
      </c>
      <c r="L8">
        <v>2.9060000000000001</v>
      </c>
      <c r="M8">
        <v>52.427999999999997</v>
      </c>
      <c r="N8">
        <v>2.911</v>
      </c>
      <c r="O8">
        <v>0.92100000000000004</v>
      </c>
      <c r="P8">
        <v>0</v>
      </c>
      <c r="Q8">
        <v>33.956000000000003</v>
      </c>
      <c r="R8">
        <v>41.8</v>
      </c>
      <c r="S8">
        <v>16.460999999999999</v>
      </c>
    </row>
    <row r="9" spans="1:21" x14ac:dyDescent="0.3">
      <c r="A9" t="s">
        <v>3</v>
      </c>
      <c r="B9">
        <v>177.19800000000001</v>
      </c>
      <c r="C9">
        <v>75.066000000000003</v>
      </c>
      <c r="D9">
        <v>43.844000000000001</v>
      </c>
      <c r="E9">
        <v>0.59</v>
      </c>
      <c r="F9">
        <v>78.825000000000003</v>
      </c>
      <c r="G9">
        <v>4.3849999999999998</v>
      </c>
      <c r="H9">
        <v>93.141999999999996</v>
      </c>
      <c r="I9">
        <v>48.887999999999998</v>
      </c>
      <c r="J9">
        <v>2.0169999999999999</v>
      </c>
      <c r="K9">
        <v>230.04300000000001</v>
      </c>
      <c r="L9">
        <v>3.0609999999999999</v>
      </c>
      <c r="M9">
        <v>52.863</v>
      </c>
      <c r="N9">
        <v>2.8849999999999998</v>
      </c>
      <c r="O9">
        <v>0.90800000000000003</v>
      </c>
      <c r="P9">
        <v>0</v>
      </c>
      <c r="Q9">
        <v>49.645000000000003</v>
      </c>
      <c r="R9">
        <v>39.200000000000003</v>
      </c>
      <c r="S9">
        <v>16.460999999999999</v>
      </c>
    </row>
    <row r="10" spans="1:21" x14ac:dyDescent="0.3">
      <c r="A10" t="s">
        <v>4</v>
      </c>
      <c r="B10">
        <v>178.34</v>
      </c>
      <c r="C10">
        <v>75.108999999999995</v>
      </c>
      <c r="D10">
        <v>43.811</v>
      </c>
      <c r="E10">
        <v>0.43</v>
      </c>
      <c r="F10">
        <v>79.744</v>
      </c>
      <c r="G10">
        <v>4.4000000000000004</v>
      </c>
      <c r="H10">
        <v>87.942999999999998</v>
      </c>
      <c r="I10">
        <v>51.512</v>
      </c>
      <c r="J10">
        <v>2.0059999999999998</v>
      </c>
      <c r="K10">
        <v>229.977</v>
      </c>
      <c r="L10">
        <v>2.984</v>
      </c>
      <c r="M10">
        <v>53.835000000000001</v>
      </c>
      <c r="N10">
        <v>2.91</v>
      </c>
      <c r="O10">
        <v>0.89900000000000002</v>
      </c>
      <c r="P10">
        <v>0</v>
      </c>
      <c r="Q10">
        <v>50.215000000000003</v>
      </c>
      <c r="R10">
        <v>38.6</v>
      </c>
      <c r="S10">
        <v>16.460999999999999</v>
      </c>
    </row>
    <row r="11" spans="1:21" x14ac:dyDescent="0.3">
      <c r="A11" t="s">
        <v>5</v>
      </c>
      <c r="B11">
        <v>181.29599999999999</v>
      </c>
      <c r="C11">
        <v>75.105999999999995</v>
      </c>
      <c r="D11">
        <v>43.866999999999997</v>
      </c>
      <c r="E11">
        <v>0.22500000000000001</v>
      </c>
      <c r="F11">
        <v>79.671999999999997</v>
      </c>
      <c r="G11">
        <v>4.53</v>
      </c>
      <c r="H11">
        <v>78.001999999999995</v>
      </c>
      <c r="I11">
        <v>51.235999999999997</v>
      </c>
      <c r="J11">
        <v>2.0070000000000001</v>
      </c>
      <c r="K11">
        <v>230.02699999999999</v>
      </c>
      <c r="L11">
        <v>3.0139999999999998</v>
      </c>
      <c r="M11">
        <v>52.482999999999997</v>
      </c>
      <c r="N11">
        <v>2.9140000000000001</v>
      </c>
      <c r="O11">
        <v>0.89300000000000002</v>
      </c>
      <c r="P11">
        <v>0</v>
      </c>
      <c r="Q11">
        <v>34.268000000000001</v>
      </c>
      <c r="R11">
        <v>41.3</v>
      </c>
      <c r="S11">
        <v>16.460999999999999</v>
      </c>
    </row>
    <row r="12" spans="1:21" x14ac:dyDescent="0.3">
      <c r="A12" t="s">
        <v>6</v>
      </c>
      <c r="B12">
        <v>177.59399999999999</v>
      </c>
      <c r="C12">
        <v>75.099000000000004</v>
      </c>
      <c r="D12">
        <v>43.899000000000001</v>
      </c>
      <c r="E12">
        <v>0.36099999999999999</v>
      </c>
      <c r="F12">
        <v>78.978999999999999</v>
      </c>
      <c r="G12">
        <v>4.1130000000000004</v>
      </c>
      <c r="H12">
        <v>89.866</v>
      </c>
      <c r="I12">
        <v>50.981999999999999</v>
      </c>
      <c r="J12">
        <v>2.0059999999999998</v>
      </c>
      <c r="K12">
        <v>230.01</v>
      </c>
      <c r="L12">
        <v>3.01</v>
      </c>
      <c r="M12">
        <v>52.366</v>
      </c>
      <c r="N12">
        <v>2.9089999999999998</v>
      </c>
      <c r="O12">
        <v>0.91200000000000003</v>
      </c>
      <c r="P12">
        <v>0</v>
      </c>
      <c r="Q12">
        <v>28.004000000000001</v>
      </c>
      <c r="R12">
        <v>42.5</v>
      </c>
      <c r="S12">
        <v>16.460999999999999</v>
      </c>
    </row>
    <row r="13" spans="1:21" x14ac:dyDescent="0.3">
      <c r="A13" t="s">
        <v>7</v>
      </c>
      <c r="B13">
        <v>177.20699999999999</v>
      </c>
      <c r="C13">
        <v>75.088999999999999</v>
      </c>
      <c r="D13">
        <v>43.731999999999999</v>
      </c>
      <c r="E13">
        <v>0.55000000000000004</v>
      </c>
      <c r="F13">
        <v>78.853999999999999</v>
      </c>
      <c r="G13">
        <v>4.6379999999999999</v>
      </c>
      <c r="H13">
        <v>93.683999999999997</v>
      </c>
      <c r="I13">
        <v>51.137999999999998</v>
      </c>
      <c r="J13">
        <v>2.008</v>
      </c>
      <c r="K13">
        <v>229.91200000000001</v>
      </c>
      <c r="L13">
        <v>2.9870000000000001</v>
      </c>
      <c r="M13">
        <v>52.622999999999998</v>
      </c>
      <c r="N13">
        <v>2.9140000000000001</v>
      </c>
      <c r="O13">
        <v>0.90800000000000003</v>
      </c>
      <c r="P13">
        <v>0</v>
      </c>
      <c r="Q13">
        <v>46.575000000000003</v>
      </c>
      <c r="R13">
        <v>39.9</v>
      </c>
      <c r="S13">
        <v>16.460999999999999</v>
      </c>
    </row>
    <row r="14" spans="1:21" x14ac:dyDescent="0.3">
      <c r="A14" t="s">
        <v>8</v>
      </c>
      <c r="B14">
        <v>178.11600000000001</v>
      </c>
      <c r="C14">
        <v>75.141999999999996</v>
      </c>
      <c r="D14">
        <v>43.499000000000002</v>
      </c>
      <c r="E14">
        <v>0.53400000000000003</v>
      </c>
      <c r="F14">
        <v>79.146000000000001</v>
      </c>
      <c r="G14">
        <v>4.2610000000000001</v>
      </c>
      <c r="H14">
        <v>92.234999999999999</v>
      </c>
      <c r="I14">
        <v>51.512</v>
      </c>
      <c r="J14">
        <v>2.0059999999999998</v>
      </c>
      <c r="K14">
        <v>229.81299999999999</v>
      </c>
      <c r="L14">
        <v>2.8969999999999998</v>
      </c>
      <c r="M14">
        <v>53.841000000000001</v>
      </c>
      <c r="N14">
        <v>2.9169999999999998</v>
      </c>
      <c r="O14">
        <v>0.90100000000000002</v>
      </c>
      <c r="P14">
        <v>0</v>
      </c>
      <c r="Q14">
        <v>51.389000000000003</v>
      </c>
      <c r="R14">
        <v>38.4</v>
      </c>
      <c r="S14">
        <v>16.460999999999999</v>
      </c>
    </row>
    <row r="15" spans="1:21" x14ac:dyDescent="0.3">
      <c r="A15" t="s">
        <v>9</v>
      </c>
      <c r="B15">
        <v>181.042</v>
      </c>
      <c r="C15">
        <v>75.093000000000004</v>
      </c>
      <c r="D15">
        <v>43.551000000000002</v>
      </c>
      <c r="E15">
        <v>0.28999999999999998</v>
      </c>
      <c r="F15">
        <v>79.275000000000006</v>
      </c>
      <c r="G15">
        <v>4.7169999999999996</v>
      </c>
      <c r="H15">
        <v>79.23</v>
      </c>
      <c r="I15">
        <v>51.265000000000001</v>
      </c>
      <c r="J15">
        <v>2.0070000000000001</v>
      </c>
      <c r="K15">
        <v>230.04300000000001</v>
      </c>
      <c r="L15">
        <v>2.903</v>
      </c>
      <c r="M15">
        <v>52.841000000000001</v>
      </c>
      <c r="N15">
        <v>2.9129999999999998</v>
      </c>
      <c r="O15">
        <v>0.90100000000000002</v>
      </c>
      <c r="P15">
        <v>0</v>
      </c>
      <c r="Q15">
        <v>42.384</v>
      </c>
      <c r="R15">
        <v>39.9</v>
      </c>
      <c r="S15">
        <v>16.460999999999999</v>
      </c>
    </row>
    <row r="16" spans="1:21" x14ac:dyDescent="0.3">
      <c r="A16" t="s">
        <v>10</v>
      </c>
      <c r="B16">
        <v>178.32400000000001</v>
      </c>
      <c r="C16">
        <v>75.024000000000001</v>
      </c>
      <c r="D16">
        <v>43.655999999999999</v>
      </c>
      <c r="E16">
        <v>0.27900000000000003</v>
      </c>
      <c r="F16">
        <v>78.364999999999995</v>
      </c>
      <c r="G16">
        <v>4.4790000000000001</v>
      </c>
      <c r="H16">
        <v>84.210999999999999</v>
      </c>
      <c r="I16">
        <v>51.167000000000002</v>
      </c>
      <c r="J16">
        <v>2.004</v>
      </c>
      <c r="K16">
        <v>229.76400000000001</v>
      </c>
      <c r="L16">
        <v>2.899</v>
      </c>
      <c r="M16">
        <v>52.323</v>
      </c>
      <c r="N16">
        <v>2.9129999999999998</v>
      </c>
      <c r="O16">
        <v>0.89800000000000002</v>
      </c>
      <c r="P16">
        <v>0</v>
      </c>
      <c r="Q16">
        <v>25.641999999999999</v>
      </c>
      <c r="R16">
        <v>42.6</v>
      </c>
      <c r="S16">
        <v>16.460999999999999</v>
      </c>
    </row>
    <row r="17" spans="1:19" x14ac:dyDescent="0.3">
      <c r="A17" t="s">
        <v>11</v>
      </c>
      <c r="B17">
        <v>176.922</v>
      </c>
      <c r="C17">
        <v>75.075999999999993</v>
      </c>
      <c r="D17">
        <v>43.692999999999998</v>
      </c>
      <c r="E17">
        <v>0.501</v>
      </c>
      <c r="F17">
        <v>80.391999999999996</v>
      </c>
      <c r="G17">
        <v>4.8579999999999997</v>
      </c>
      <c r="H17">
        <v>92.872</v>
      </c>
      <c r="I17">
        <v>51.302</v>
      </c>
      <c r="J17">
        <v>2.008</v>
      </c>
      <c r="K17">
        <v>230.059</v>
      </c>
      <c r="L17">
        <v>2.9060000000000001</v>
      </c>
      <c r="M17">
        <v>52.347000000000001</v>
      </c>
      <c r="N17">
        <v>2.9119999999999999</v>
      </c>
      <c r="O17">
        <v>0.90600000000000003</v>
      </c>
      <c r="P17">
        <v>0</v>
      </c>
      <c r="Q17">
        <v>40.411999999999999</v>
      </c>
      <c r="R17">
        <v>40.9</v>
      </c>
      <c r="S17">
        <v>16.460999999999999</v>
      </c>
    </row>
    <row r="18" spans="1:19" x14ac:dyDescent="0.3">
      <c r="A18" t="s">
        <v>12</v>
      </c>
      <c r="B18">
        <v>176.922</v>
      </c>
      <c r="C18">
        <v>75.046999999999997</v>
      </c>
      <c r="D18">
        <v>43.722000000000001</v>
      </c>
      <c r="E18">
        <v>0.57399999999999995</v>
      </c>
      <c r="F18">
        <v>80.361999999999995</v>
      </c>
      <c r="G18">
        <v>4.609</v>
      </c>
      <c r="H18">
        <v>93.197999999999993</v>
      </c>
      <c r="I18">
        <v>51.487000000000002</v>
      </c>
      <c r="J18">
        <v>2.0059999999999998</v>
      </c>
      <c r="K18">
        <v>229.91200000000001</v>
      </c>
      <c r="L18">
        <v>2.8940000000000001</v>
      </c>
      <c r="M18">
        <v>53.033000000000001</v>
      </c>
      <c r="N18">
        <v>2.9159999999999999</v>
      </c>
      <c r="O18">
        <v>0.91900000000000004</v>
      </c>
      <c r="P18">
        <v>0</v>
      </c>
      <c r="Q18">
        <v>50.540999999999997</v>
      </c>
      <c r="R18">
        <v>38.700000000000003</v>
      </c>
      <c r="S18">
        <v>16.460999999999999</v>
      </c>
    </row>
    <row r="19" spans="1:19" x14ac:dyDescent="0.3">
      <c r="A19" t="s">
        <v>13</v>
      </c>
      <c r="B19">
        <v>177.10499999999999</v>
      </c>
      <c r="C19">
        <v>75.075999999999993</v>
      </c>
      <c r="D19">
        <v>43.646999999999998</v>
      </c>
      <c r="E19">
        <v>0.39300000000000002</v>
      </c>
      <c r="F19">
        <v>79.537000000000006</v>
      </c>
      <c r="G19">
        <v>4.5279999999999996</v>
      </c>
      <c r="H19">
        <v>84.625</v>
      </c>
      <c r="I19">
        <v>51.228000000000002</v>
      </c>
      <c r="J19">
        <v>2.0070000000000001</v>
      </c>
      <c r="K19">
        <v>230.01</v>
      </c>
      <c r="L19">
        <v>2.9049999999999998</v>
      </c>
      <c r="M19">
        <v>53.456000000000003</v>
      </c>
      <c r="N19">
        <v>2.9119999999999999</v>
      </c>
      <c r="O19">
        <v>0.89200000000000002</v>
      </c>
      <c r="P19">
        <v>0</v>
      </c>
      <c r="Q19">
        <v>48.685000000000002</v>
      </c>
      <c r="R19">
        <v>39</v>
      </c>
      <c r="S19">
        <v>16.460999999999999</v>
      </c>
    </row>
    <row r="20" spans="1:19" x14ac:dyDescent="0.3">
      <c r="A20" t="s">
        <v>14</v>
      </c>
      <c r="B20">
        <v>179.24600000000001</v>
      </c>
      <c r="C20">
        <v>75.072999999999993</v>
      </c>
      <c r="D20">
        <v>43.63</v>
      </c>
      <c r="E20">
        <v>0.25600000000000001</v>
      </c>
      <c r="F20">
        <v>79.268000000000001</v>
      </c>
      <c r="G20">
        <v>4.6929999999999996</v>
      </c>
      <c r="H20">
        <v>78.738</v>
      </c>
      <c r="I20">
        <v>50.99</v>
      </c>
      <c r="J20">
        <v>2.004</v>
      </c>
      <c r="K20">
        <v>229.81299999999999</v>
      </c>
      <c r="L20">
        <v>2.895</v>
      </c>
      <c r="M20">
        <v>52.636000000000003</v>
      </c>
      <c r="N20">
        <v>2.9159999999999999</v>
      </c>
      <c r="O20">
        <v>0.89600000000000002</v>
      </c>
      <c r="P20">
        <v>0</v>
      </c>
      <c r="Q20">
        <v>30.273</v>
      </c>
      <c r="R20">
        <v>41.9</v>
      </c>
      <c r="S20">
        <v>16.460999999999999</v>
      </c>
    </row>
    <row r="21" spans="1:19" x14ac:dyDescent="0.3">
      <c r="A21" t="s">
        <v>15</v>
      </c>
      <c r="B21">
        <v>180.309</v>
      </c>
      <c r="C21">
        <v>75.119</v>
      </c>
      <c r="D21">
        <v>43.765000000000001</v>
      </c>
      <c r="E21">
        <v>0.40300000000000002</v>
      </c>
      <c r="F21">
        <v>79.393000000000001</v>
      </c>
      <c r="G21">
        <v>4.6550000000000002</v>
      </c>
      <c r="H21">
        <v>91.58</v>
      </c>
      <c r="I21">
        <v>51.335000000000001</v>
      </c>
      <c r="J21">
        <v>2.0089999999999999</v>
      </c>
      <c r="K21">
        <v>230.10900000000001</v>
      </c>
      <c r="L21">
        <v>2.907</v>
      </c>
      <c r="M21">
        <v>52.4</v>
      </c>
      <c r="N21">
        <v>2.915</v>
      </c>
      <c r="O21">
        <v>0.91500000000000004</v>
      </c>
      <c r="P21">
        <v>0</v>
      </c>
      <c r="Q21">
        <v>31.581</v>
      </c>
      <c r="R21">
        <v>41.9</v>
      </c>
      <c r="S21">
        <v>16.460999999999999</v>
      </c>
    </row>
    <row r="22" spans="1:19" x14ac:dyDescent="0.3">
      <c r="A22" t="s">
        <v>16</v>
      </c>
      <c r="B22">
        <v>177.869</v>
      </c>
      <c r="C22">
        <v>75.078999999999994</v>
      </c>
      <c r="D22">
        <v>43.787999999999997</v>
      </c>
      <c r="E22">
        <v>0.57699999999999996</v>
      </c>
      <c r="F22">
        <v>79.454999999999998</v>
      </c>
      <c r="G22">
        <v>4.7240000000000002</v>
      </c>
      <c r="H22">
        <v>93.632000000000005</v>
      </c>
      <c r="I22">
        <v>51.356000000000002</v>
      </c>
      <c r="J22">
        <v>2.0049999999999999</v>
      </c>
      <c r="K22">
        <v>229.91200000000001</v>
      </c>
      <c r="L22">
        <v>2.895</v>
      </c>
      <c r="M22">
        <v>52.68</v>
      </c>
      <c r="N22">
        <v>2.9169999999999998</v>
      </c>
      <c r="O22">
        <v>0.91200000000000003</v>
      </c>
      <c r="P22">
        <v>0</v>
      </c>
      <c r="Q22">
        <v>48.567999999999998</v>
      </c>
      <c r="R22">
        <v>39.299999999999997</v>
      </c>
      <c r="S22">
        <v>16.460999999999999</v>
      </c>
    </row>
    <row r="23" spans="1:19" x14ac:dyDescent="0.3">
      <c r="A23" t="s">
        <v>17</v>
      </c>
      <c r="B23">
        <v>177.608</v>
      </c>
      <c r="C23">
        <v>75.063000000000002</v>
      </c>
      <c r="D23">
        <v>43.633000000000003</v>
      </c>
      <c r="E23">
        <v>0.505</v>
      </c>
      <c r="F23">
        <v>79.576999999999998</v>
      </c>
      <c r="G23">
        <v>4.4429999999999996</v>
      </c>
      <c r="H23">
        <v>90.641000000000005</v>
      </c>
      <c r="I23">
        <v>51.018999999999998</v>
      </c>
      <c r="J23">
        <v>2.008</v>
      </c>
      <c r="K23">
        <v>230.125</v>
      </c>
      <c r="L23">
        <v>2.758</v>
      </c>
      <c r="M23">
        <v>53.792000000000002</v>
      </c>
      <c r="N23">
        <v>2.9169999999999998</v>
      </c>
      <c r="O23">
        <v>0.90700000000000003</v>
      </c>
      <c r="P23">
        <v>0</v>
      </c>
      <c r="Q23">
        <v>51.048999999999999</v>
      </c>
      <c r="R23">
        <v>38.5</v>
      </c>
      <c r="S23">
        <v>16.460999999999999</v>
      </c>
    </row>
    <row r="24" spans="1:19" x14ac:dyDescent="0.3">
      <c r="A24" t="s">
        <v>18</v>
      </c>
      <c r="B24">
        <v>178.65700000000001</v>
      </c>
      <c r="C24">
        <v>75.02</v>
      </c>
      <c r="D24">
        <v>43.485999999999997</v>
      </c>
      <c r="E24">
        <v>0.254</v>
      </c>
      <c r="F24">
        <v>80.069999999999993</v>
      </c>
      <c r="G24">
        <v>4.3970000000000002</v>
      </c>
      <c r="H24">
        <v>78.688000000000002</v>
      </c>
      <c r="I24">
        <v>51.350999999999999</v>
      </c>
      <c r="J24">
        <v>2.0009999999999999</v>
      </c>
      <c r="K24">
        <v>229.63200000000001</v>
      </c>
      <c r="L24">
        <v>2.8159999999999998</v>
      </c>
      <c r="M24">
        <v>52.51</v>
      </c>
      <c r="N24">
        <v>2.91</v>
      </c>
      <c r="O24">
        <v>0.90400000000000003</v>
      </c>
      <c r="P24">
        <v>0</v>
      </c>
      <c r="Q24">
        <v>37.814999999999998</v>
      </c>
      <c r="R24">
        <v>40.6</v>
      </c>
      <c r="S24">
        <v>16.460999999999999</v>
      </c>
    </row>
    <row r="25" spans="1:19" x14ac:dyDescent="0.3">
      <c r="A25" t="s">
        <v>19</v>
      </c>
      <c r="B25">
        <v>181.202</v>
      </c>
      <c r="C25">
        <v>75.013999999999996</v>
      </c>
      <c r="D25">
        <v>43.41</v>
      </c>
      <c r="E25">
        <v>0.32700000000000001</v>
      </c>
      <c r="F25">
        <v>79.602999999999994</v>
      </c>
      <c r="G25">
        <v>4.484</v>
      </c>
      <c r="H25">
        <v>87.494</v>
      </c>
      <c r="I25">
        <v>51.335000000000001</v>
      </c>
      <c r="J25">
        <v>2.008</v>
      </c>
      <c r="K25">
        <v>230.04300000000001</v>
      </c>
      <c r="L25">
        <v>2.7970000000000002</v>
      </c>
      <c r="M25">
        <v>52.29</v>
      </c>
      <c r="N25">
        <v>2.911</v>
      </c>
      <c r="O25">
        <v>0.89300000000000002</v>
      </c>
      <c r="P25">
        <v>0</v>
      </c>
      <c r="Q25">
        <v>26.805</v>
      </c>
      <c r="R25">
        <v>42.6</v>
      </c>
      <c r="S25">
        <v>16.460999999999999</v>
      </c>
    </row>
    <row r="26" spans="1:19" x14ac:dyDescent="0.3">
      <c r="A26" t="s">
        <v>20</v>
      </c>
      <c r="B26">
        <v>177.72499999999999</v>
      </c>
      <c r="C26">
        <v>75.024000000000001</v>
      </c>
      <c r="D26">
        <v>43.43</v>
      </c>
      <c r="E26">
        <v>0.54900000000000004</v>
      </c>
      <c r="F26">
        <v>79.254999999999995</v>
      </c>
      <c r="G26">
        <v>4.4770000000000003</v>
      </c>
      <c r="H26">
        <v>93.367000000000004</v>
      </c>
      <c r="I26">
        <v>50.997999999999998</v>
      </c>
      <c r="J26">
        <v>2.0030000000000001</v>
      </c>
      <c r="K26">
        <v>229.68199999999999</v>
      </c>
      <c r="L26">
        <v>2.7949999999999999</v>
      </c>
      <c r="M26">
        <v>52.442999999999998</v>
      </c>
      <c r="N26">
        <v>2.915</v>
      </c>
      <c r="O26">
        <v>0.92700000000000005</v>
      </c>
      <c r="P26">
        <v>0</v>
      </c>
      <c r="Q26">
        <v>43.902000000000001</v>
      </c>
      <c r="R26">
        <v>40.4</v>
      </c>
      <c r="S26">
        <v>16.460999999999999</v>
      </c>
    </row>
    <row r="27" spans="1:19" x14ac:dyDescent="0.3">
      <c r="A27" t="s">
        <v>21</v>
      </c>
      <c r="B27">
        <v>177.01900000000001</v>
      </c>
      <c r="C27">
        <v>75.027000000000001</v>
      </c>
      <c r="D27">
        <v>43.509</v>
      </c>
      <c r="E27">
        <v>0.56699999999999995</v>
      </c>
      <c r="F27">
        <v>78.850999999999999</v>
      </c>
      <c r="G27">
        <v>4.3529999999999998</v>
      </c>
      <c r="H27">
        <v>93.33</v>
      </c>
      <c r="I27">
        <v>51.466000000000001</v>
      </c>
      <c r="J27">
        <v>2.0099999999999998</v>
      </c>
      <c r="K27">
        <v>230.43700000000001</v>
      </c>
      <c r="L27">
        <v>2.8109999999999999</v>
      </c>
      <c r="M27">
        <v>53.344000000000001</v>
      </c>
      <c r="N27">
        <v>2.9129999999999998</v>
      </c>
      <c r="O27">
        <v>0.91200000000000003</v>
      </c>
      <c r="P27">
        <v>0</v>
      </c>
      <c r="Q27">
        <v>51.506</v>
      </c>
      <c r="R27">
        <v>38.4</v>
      </c>
      <c r="S27">
        <v>16.460999999999999</v>
      </c>
    </row>
    <row r="28" spans="1:19" x14ac:dyDescent="0.3">
      <c r="A28" t="s">
        <v>22</v>
      </c>
      <c r="B28">
        <v>177.898</v>
      </c>
      <c r="C28">
        <v>75.033000000000001</v>
      </c>
      <c r="D28">
        <v>43.406999999999996</v>
      </c>
      <c r="E28">
        <v>0.34799999999999998</v>
      </c>
      <c r="F28">
        <v>79.748000000000005</v>
      </c>
      <c r="G28">
        <v>4.53</v>
      </c>
      <c r="H28">
        <v>82.287000000000006</v>
      </c>
      <c r="I28">
        <v>51.293999999999997</v>
      </c>
      <c r="J28">
        <v>2.0030000000000001</v>
      </c>
      <c r="K28">
        <v>229.32</v>
      </c>
      <c r="L28">
        <v>2.8279999999999998</v>
      </c>
      <c r="M28">
        <v>53.042999999999999</v>
      </c>
      <c r="N28">
        <v>2.9140000000000001</v>
      </c>
      <c r="O28">
        <v>0.89900000000000002</v>
      </c>
      <c r="P28">
        <v>0</v>
      </c>
      <c r="Q28">
        <v>45.823999999999998</v>
      </c>
      <c r="R28">
        <v>39.200000000000003</v>
      </c>
      <c r="S28">
        <v>16.460999999999999</v>
      </c>
    </row>
    <row r="29" spans="1:19" x14ac:dyDescent="0.3">
      <c r="A29" t="s">
        <v>23</v>
      </c>
      <c r="B29">
        <v>180.316</v>
      </c>
      <c r="C29">
        <v>75.063000000000002</v>
      </c>
      <c r="D29">
        <v>43.412999999999997</v>
      </c>
      <c r="E29">
        <v>0.28899999999999998</v>
      </c>
      <c r="F29">
        <v>79.582999999999998</v>
      </c>
      <c r="G29">
        <v>4.5679999999999996</v>
      </c>
      <c r="H29">
        <v>81.144999999999996</v>
      </c>
      <c r="I29">
        <v>51.052</v>
      </c>
      <c r="J29">
        <v>2.0070000000000001</v>
      </c>
      <c r="K29">
        <v>230.17400000000001</v>
      </c>
      <c r="L29">
        <v>2.8889999999999998</v>
      </c>
      <c r="M29">
        <v>52.433</v>
      </c>
      <c r="N29">
        <v>2.915</v>
      </c>
      <c r="O29">
        <v>0.89600000000000002</v>
      </c>
      <c r="P29">
        <v>0</v>
      </c>
      <c r="Q29">
        <v>27.911999999999999</v>
      </c>
      <c r="R29">
        <v>42.3</v>
      </c>
      <c r="S29">
        <v>16.460999999999999</v>
      </c>
    </row>
    <row r="30" spans="1:19" x14ac:dyDescent="0.3">
      <c r="A30" t="s">
        <v>24</v>
      </c>
      <c r="B30">
        <v>178.143</v>
      </c>
      <c r="C30">
        <v>75.055999999999997</v>
      </c>
      <c r="D30">
        <v>43.433</v>
      </c>
      <c r="E30">
        <v>0.50600000000000001</v>
      </c>
      <c r="F30">
        <v>80.165000000000006</v>
      </c>
      <c r="G30">
        <v>4.7859999999999996</v>
      </c>
      <c r="H30">
        <v>93.031999999999996</v>
      </c>
      <c r="I30">
        <v>51.433999999999997</v>
      </c>
      <c r="J30">
        <v>2.0059999999999998</v>
      </c>
      <c r="K30">
        <v>229.87899999999999</v>
      </c>
      <c r="L30">
        <v>2.9</v>
      </c>
      <c r="M30">
        <v>52.415999999999997</v>
      </c>
      <c r="N30">
        <v>2.911</v>
      </c>
      <c r="O30">
        <v>0.89900000000000002</v>
      </c>
      <c r="P30">
        <v>0</v>
      </c>
      <c r="Q30">
        <v>36.771000000000001</v>
      </c>
      <c r="R30">
        <v>41.4</v>
      </c>
      <c r="S30">
        <v>16.460999999999999</v>
      </c>
    </row>
    <row r="31" spans="1:19" x14ac:dyDescent="0.3">
      <c r="A31" t="s">
        <v>25</v>
      </c>
      <c r="B31">
        <v>177.239</v>
      </c>
      <c r="C31">
        <v>75.066000000000003</v>
      </c>
      <c r="D31">
        <v>43.448999999999998</v>
      </c>
      <c r="E31">
        <v>0.58699999999999997</v>
      </c>
      <c r="F31">
        <v>78.611000000000004</v>
      </c>
      <c r="G31">
        <v>4.484</v>
      </c>
      <c r="H31">
        <v>93.599000000000004</v>
      </c>
      <c r="I31">
        <v>51.363999999999997</v>
      </c>
      <c r="J31">
        <v>2.0089999999999999</v>
      </c>
      <c r="K31">
        <v>230.37200000000001</v>
      </c>
      <c r="L31">
        <v>2.9089999999999998</v>
      </c>
      <c r="M31">
        <v>52.768999999999998</v>
      </c>
      <c r="N31">
        <v>2.9089999999999998</v>
      </c>
      <c r="O31">
        <v>0.90600000000000003</v>
      </c>
      <c r="P31">
        <v>0</v>
      </c>
      <c r="Q31">
        <v>50.279000000000003</v>
      </c>
      <c r="R31">
        <v>38.9</v>
      </c>
      <c r="S31">
        <v>16.460999999999999</v>
      </c>
    </row>
    <row r="32" spans="1:19" x14ac:dyDescent="0.3">
      <c r="A32" t="s">
        <v>26</v>
      </c>
      <c r="B32">
        <v>177.6</v>
      </c>
      <c r="C32">
        <v>75.043000000000006</v>
      </c>
      <c r="D32">
        <v>43.561</v>
      </c>
      <c r="E32">
        <v>0.438</v>
      </c>
      <c r="F32">
        <v>79.304000000000002</v>
      </c>
      <c r="G32">
        <v>4.76</v>
      </c>
      <c r="H32">
        <v>87.759</v>
      </c>
      <c r="I32">
        <v>51.048000000000002</v>
      </c>
      <c r="J32">
        <v>2.004</v>
      </c>
      <c r="K32">
        <v>229.714</v>
      </c>
      <c r="L32">
        <v>2.9009999999999998</v>
      </c>
      <c r="M32">
        <v>53.698999999999998</v>
      </c>
      <c r="N32">
        <v>2.9140000000000001</v>
      </c>
      <c r="O32">
        <v>0.91400000000000003</v>
      </c>
      <c r="P32">
        <v>0</v>
      </c>
      <c r="Q32">
        <v>50.256999999999998</v>
      </c>
      <c r="R32">
        <v>38.5</v>
      </c>
      <c r="S32">
        <v>16.460999999999999</v>
      </c>
    </row>
    <row r="33" spans="1:19" x14ac:dyDescent="0.3">
      <c r="A33" t="s">
        <v>27</v>
      </c>
      <c r="B33">
        <v>179.05199999999999</v>
      </c>
      <c r="C33">
        <v>75.03</v>
      </c>
      <c r="D33">
        <v>43.584000000000003</v>
      </c>
      <c r="E33">
        <v>0.26900000000000002</v>
      </c>
      <c r="F33">
        <v>79.454999999999998</v>
      </c>
      <c r="G33">
        <v>4.3209999999999997</v>
      </c>
      <c r="H33">
        <v>79.132000000000005</v>
      </c>
      <c r="I33">
        <v>51.319000000000003</v>
      </c>
      <c r="J33">
        <v>2.0070000000000001</v>
      </c>
      <c r="K33">
        <v>229.994</v>
      </c>
      <c r="L33">
        <v>2.9060000000000001</v>
      </c>
      <c r="M33">
        <v>52.368000000000002</v>
      </c>
      <c r="N33">
        <v>2.9129999999999998</v>
      </c>
      <c r="O33">
        <v>0.91600000000000004</v>
      </c>
      <c r="P33">
        <v>0</v>
      </c>
      <c r="Q33">
        <v>34.121000000000002</v>
      </c>
      <c r="R33">
        <v>41.2</v>
      </c>
      <c r="S33">
        <v>16.460999999999999</v>
      </c>
    </row>
    <row r="34" spans="1:19" x14ac:dyDescent="0.3">
      <c r="A34" t="s">
        <v>28</v>
      </c>
      <c r="B34">
        <v>179.81800000000001</v>
      </c>
      <c r="C34">
        <v>75.03</v>
      </c>
      <c r="D34">
        <v>43.478999999999999</v>
      </c>
      <c r="E34">
        <v>0.44900000000000001</v>
      </c>
      <c r="F34">
        <v>79.777000000000001</v>
      </c>
      <c r="G34">
        <v>4.5869999999999997</v>
      </c>
      <c r="H34">
        <v>90.475999999999999</v>
      </c>
      <c r="I34">
        <v>51.350999999999999</v>
      </c>
      <c r="J34">
        <v>1.919</v>
      </c>
      <c r="K34">
        <v>229.74700000000001</v>
      </c>
      <c r="L34">
        <v>2.8809999999999998</v>
      </c>
      <c r="M34">
        <v>52.454999999999998</v>
      </c>
      <c r="N34">
        <v>2.8820000000000001</v>
      </c>
      <c r="O34">
        <v>0.89900000000000002</v>
      </c>
      <c r="P34">
        <v>0</v>
      </c>
      <c r="Q34">
        <v>29.969000000000001</v>
      </c>
      <c r="R34">
        <v>42.2</v>
      </c>
      <c r="S34">
        <v>16.460999999999999</v>
      </c>
    </row>
    <row r="35" spans="1:19" ht="15" thickBot="1" x14ac:dyDescent="0.35">
      <c r="A35" t="s">
        <v>29</v>
      </c>
      <c r="B35">
        <v>177.054</v>
      </c>
      <c r="C35">
        <v>75.024000000000001</v>
      </c>
      <c r="D35">
        <v>43.524999999999999</v>
      </c>
      <c r="E35">
        <v>0.54100000000000004</v>
      </c>
      <c r="F35">
        <v>80.082999999999998</v>
      </c>
      <c r="G35">
        <v>4.3479999999999999</v>
      </c>
      <c r="H35">
        <v>94.013000000000005</v>
      </c>
      <c r="I35">
        <v>51.116999999999997</v>
      </c>
      <c r="J35">
        <v>2.0099999999999998</v>
      </c>
      <c r="K35">
        <v>230.191</v>
      </c>
      <c r="L35">
        <v>2.9079999999999999</v>
      </c>
      <c r="M35">
        <v>52.603000000000002</v>
      </c>
      <c r="N35">
        <v>2.9180000000000001</v>
      </c>
      <c r="O35">
        <v>0.93500000000000005</v>
      </c>
      <c r="P35">
        <v>0</v>
      </c>
      <c r="Q35">
        <v>47.33</v>
      </c>
      <c r="R35">
        <v>39.6</v>
      </c>
      <c r="S35">
        <v>16.460999999999999</v>
      </c>
    </row>
    <row r="36" spans="1:19" ht="15" thickBot="1" x14ac:dyDescent="0.35">
      <c r="A36" t="s">
        <v>30</v>
      </c>
      <c r="B36" s="1">
        <f>AVERAGE(B6:B35)</f>
        <v>178.47046666666668</v>
      </c>
      <c r="C36" s="1">
        <f>AVERAGE(C6:C35)</f>
        <v>75.069233333333344</v>
      </c>
      <c r="D36" s="1">
        <f t="shared" ref="D36:S36" si="0">AVERAGE(D6:D35)</f>
        <v>43.617466666666672</v>
      </c>
      <c r="E36" s="10">
        <f t="shared" si="0"/>
        <v>0.42363333333333336</v>
      </c>
      <c r="F36" s="1">
        <f t="shared" si="0"/>
        <v>79.374266666666685</v>
      </c>
      <c r="G36" s="1">
        <f t="shared" si="0"/>
        <v>4.5422000000000002</v>
      </c>
      <c r="H36" s="10">
        <f t="shared" si="0"/>
        <v>87.698833333333354</v>
      </c>
      <c r="I36" s="1">
        <f t="shared" si="0"/>
        <v>51.166566666666654</v>
      </c>
      <c r="J36" s="8">
        <f t="shared" si="0"/>
        <v>2.0039333333333333</v>
      </c>
      <c r="K36" s="1">
        <f t="shared" si="0"/>
        <v>229.9647333333333</v>
      </c>
      <c r="L36" s="1">
        <f t="shared" si="0"/>
        <v>2.8991000000000002</v>
      </c>
      <c r="M36" s="1">
        <f t="shared" si="0"/>
        <v>52.80983333333333</v>
      </c>
      <c r="N36" s="1">
        <f t="shared" si="0"/>
        <v>2.911633333333334</v>
      </c>
      <c r="O36" s="1">
        <f t="shared" si="0"/>
        <v>0.90650000000000008</v>
      </c>
      <c r="P36" s="1">
        <f t="shared" si="0"/>
        <v>0</v>
      </c>
      <c r="Q36" s="1">
        <f t="shared" si="0"/>
        <v>40.649633333333341</v>
      </c>
      <c r="R36" s="1">
        <f t="shared" si="0"/>
        <v>40.383333333333326</v>
      </c>
      <c r="S36" s="1">
        <f t="shared" si="0"/>
        <v>16.461000000000009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7171-A8FC-4FFB-B8CD-DD85A7232E5C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0.54309027777777774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2.0315227742916995</v>
      </c>
      <c r="M2" s="8">
        <f>100*(R36/(R36+Q36))</f>
        <v>49.828758971185088</v>
      </c>
      <c r="O2" s="9">
        <f>100*((E36*C2)/((E36*C2)+(K2*E2)))</f>
        <v>16.106105953022304</v>
      </c>
      <c r="Q2" s="10">
        <f>100*J36*(1/(((C2/3.6)*E36)+((E2/3.6)*K2)))</f>
        <v>12.360688613663056</v>
      </c>
      <c r="S2" s="6">
        <v>3.54</v>
      </c>
      <c r="U2" s="10">
        <f>100*((((G36*0.001*60)*(C36-D36)*(S2/3.6)))/(((C2/3.6)*E36)+((E2/3.6)*K2)))</f>
        <v>17.375246285206416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90</v>
      </c>
      <c r="B6">
        <v>203.739</v>
      </c>
      <c r="C6">
        <v>74.444999999999993</v>
      </c>
      <c r="D6">
        <v>42.438000000000002</v>
      </c>
      <c r="E6">
        <v>0.379</v>
      </c>
      <c r="F6">
        <v>77.707999999999998</v>
      </c>
      <c r="G6">
        <v>7.5839999999999996</v>
      </c>
      <c r="H6">
        <v>96.953000000000003</v>
      </c>
      <c r="I6">
        <v>38.079000000000001</v>
      </c>
      <c r="J6">
        <v>4.1630000000000003</v>
      </c>
      <c r="K6">
        <v>230.339</v>
      </c>
      <c r="L6">
        <v>6.0529999999999999</v>
      </c>
      <c r="M6">
        <v>52.811999999999998</v>
      </c>
      <c r="N6">
        <v>5.9379999999999997</v>
      </c>
      <c r="O6">
        <v>0.92</v>
      </c>
      <c r="P6">
        <v>0</v>
      </c>
      <c r="Q6">
        <v>47.832000000000001</v>
      </c>
      <c r="R6">
        <v>44.3</v>
      </c>
      <c r="S6">
        <v>22.853999999999999</v>
      </c>
    </row>
    <row r="7" spans="1:21" x14ac:dyDescent="0.3">
      <c r="A7" t="s">
        <v>91</v>
      </c>
      <c r="B7">
        <v>203.46199999999999</v>
      </c>
      <c r="C7">
        <v>74.13</v>
      </c>
      <c r="D7">
        <v>43.38</v>
      </c>
      <c r="E7">
        <v>0.38700000000000001</v>
      </c>
      <c r="F7">
        <v>77.77</v>
      </c>
      <c r="G7">
        <v>7.3040000000000003</v>
      </c>
      <c r="H7">
        <v>96.799000000000007</v>
      </c>
      <c r="I7">
        <v>38.137</v>
      </c>
      <c r="J7">
        <v>4.1550000000000002</v>
      </c>
      <c r="K7">
        <v>230.07599999999999</v>
      </c>
      <c r="L7">
        <v>6.04</v>
      </c>
      <c r="M7">
        <v>52.82</v>
      </c>
      <c r="N7">
        <v>5.9409999999999998</v>
      </c>
      <c r="O7">
        <v>0.92700000000000005</v>
      </c>
      <c r="P7">
        <v>0</v>
      </c>
      <c r="Q7">
        <v>46.923000000000002</v>
      </c>
      <c r="R7">
        <v>44.1</v>
      </c>
      <c r="S7">
        <v>22.853999999999999</v>
      </c>
    </row>
    <row r="8" spans="1:21" x14ac:dyDescent="0.3">
      <c r="A8" t="s">
        <v>92</v>
      </c>
      <c r="B8">
        <v>203.85</v>
      </c>
      <c r="C8">
        <v>73.748999999999995</v>
      </c>
      <c r="D8">
        <v>44.225000000000001</v>
      </c>
      <c r="E8">
        <v>0.44700000000000001</v>
      </c>
      <c r="F8">
        <v>78.141000000000005</v>
      </c>
      <c r="G8">
        <v>7.9649999999999999</v>
      </c>
      <c r="H8">
        <v>95.573999999999998</v>
      </c>
      <c r="I8">
        <v>38.707000000000001</v>
      </c>
      <c r="J8">
        <v>4.1619999999999999</v>
      </c>
      <c r="K8">
        <v>230.322</v>
      </c>
      <c r="L8">
        <v>6.0519999999999996</v>
      </c>
      <c r="M8">
        <v>52.646000000000001</v>
      </c>
      <c r="N8">
        <v>5.9429999999999996</v>
      </c>
      <c r="O8">
        <v>0.93200000000000005</v>
      </c>
      <c r="P8">
        <v>0</v>
      </c>
      <c r="Q8">
        <v>45.780999999999999</v>
      </c>
      <c r="R8">
        <v>44.2</v>
      </c>
      <c r="S8">
        <v>22.853999999999999</v>
      </c>
    </row>
    <row r="9" spans="1:21" x14ac:dyDescent="0.3">
      <c r="A9" t="s">
        <v>93</v>
      </c>
      <c r="B9">
        <v>203.93</v>
      </c>
      <c r="C9">
        <v>73.509</v>
      </c>
      <c r="D9">
        <v>45.213999999999999</v>
      </c>
      <c r="E9">
        <v>0.50700000000000001</v>
      </c>
      <c r="F9">
        <v>77.655000000000001</v>
      </c>
      <c r="G9">
        <v>7.0990000000000002</v>
      </c>
      <c r="H9">
        <v>94.572999999999993</v>
      </c>
      <c r="I9">
        <v>38.723999999999997</v>
      </c>
      <c r="J9">
        <v>4.1529999999999996</v>
      </c>
      <c r="K9">
        <v>230.04300000000001</v>
      </c>
      <c r="L9">
        <v>6.0369999999999999</v>
      </c>
      <c r="M9">
        <v>52.756999999999998</v>
      </c>
      <c r="N9">
        <v>5.9429999999999996</v>
      </c>
      <c r="O9">
        <v>0.91900000000000004</v>
      </c>
      <c r="P9">
        <v>0</v>
      </c>
      <c r="Q9">
        <v>44.658999999999999</v>
      </c>
      <c r="R9">
        <v>44.4</v>
      </c>
      <c r="S9">
        <v>22.853999999999999</v>
      </c>
    </row>
    <row r="10" spans="1:21" x14ac:dyDescent="0.3">
      <c r="A10" t="s">
        <v>94</v>
      </c>
      <c r="B10">
        <v>203.98</v>
      </c>
      <c r="C10">
        <v>73.180999999999997</v>
      </c>
      <c r="D10">
        <v>46.031999999999996</v>
      </c>
      <c r="E10">
        <v>0.51200000000000001</v>
      </c>
      <c r="F10">
        <v>78.197000000000003</v>
      </c>
      <c r="G10">
        <v>6.8769999999999998</v>
      </c>
      <c r="H10">
        <v>93.608000000000004</v>
      </c>
      <c r="I10">
        <v>39.536999999999999</v>
      </c>
      <c r="J10">
        <v>4.1630000000000003</v>
      </c>
      <c r="K10">
        <v>230.42099999999999</v>
      </c>
      <c r="L10">
        <v>6.0540000000000003</v>
      </c>
      <c r="M10">
        <v>52.889000000000003</v>
      </c>
      <c r="N10">
        <v>5.9379999999999997</v>
      </c>
      <c r="O10">
        <v>0.90900000000000003</v>
      </c>
      <c r="P10">
        <v>0</v>
      </c>
      <c r="Q10">
        <v>43.677999999999997</v>
      </c>
      <c r="R10">
        <v>44.4</v>
      </c>
      <c r="S10">
        <v>22.853999999999999</v>
      </c>
    </row>
    <row r="11" spans="1:21" x14ac:dyDescent="0.3">
      <c r="A11" t="s">
        <v>95</v>
      </c>
      <c r="B11">
        <v>203.96</v>
      </c>
      <c r="C11">
        <v>72.875</v>
      </c>
      <c r="D11">
        <v>46.695</v>
      </c>
      <c r="E11">
        <v>0.47599999999999998</v>
      </c>
      <c r="F11">
        <v>77.207999999999998</v>
      </c>
      <c r="G11">
        <v>5.9619999999999997</v>
      </c>
      <c r="H11">
        <v>93.462999999999994</v>
      </c>
      <c r="I11">
        <v>39.319000000000003</v>
      </c>
      <c r="J11">
        <v>4.1559999999999997</v>
      </c>
      <c r="K11">
        <v>230.059</v>
      </c>
      <c r="L11">
        <v>6.0430000000000001</v>
      </c>
      <c r="M11">
        <v>52.738999999999997</v>
      </c>
      <c r="N11">
        <v>5.931</v>
      </c>
      <c r="O11">
        <v>0.91900000000000004</v>
      </c>
      <c r="P11">
        <v>0</v>
      </c>
      <c r="Q11">
        <v>43.341000000000001</v>
      </c>
      <c r="R11">
        <v>44.7</v>
      </c>
      <c r="S11">
        <v>22.853999999999999</v>
      </c>
    </row>
    <row r="12" spans="1:21" x14ac:dyDescent="0.3">
      <c r="A12" t="s">
        <v>96</v>
      </c>
      <c r="B12">
        <v>203.81800000000001</v>
      </c>
      <c r="C12">
        <v>72.747</v>
      </c>
      <c r="D12">
        <v>47.191000000000003</v>
      </c>
      <c r="E12">
        <v>0.48</v>
      </c>
      <c r="F12">
        <v>76.384</v>
      </c>
      <c r="G12">
        <v>5.1950000000000003</v>
      </c>
      <c r="H12">
        <v>94.120999999999995</v>
      </c>
      <c r="I12">
        <v>39.704999999999998</v>
      </c>
      <c r="J12">
        <v>4.1630000000000003</v>
      </c>
      <c r="K12">
        <v>230.37200000000001</v>
      </c>
      <c r="L12">
        <v>6.05</v>
      </c>
      <c r="M12">
        <v>52.787999999999997</v>
      </c>
      <c r="N12">
        <v>5.9550000000000001</v>
      </c>
      <c r="O12">
        <v>0.91200000000000003</v>
      </c>
      <c r="P12">
        <v>0</v>
      </c>
      <c r="Q12">
        <v>43.884999999999998</v>
      </c>
      <c r="R12">
        <v>44.6</v>
      </c>
      <c r="S12">
        <v>22.853999999999999</v>
      </c>
    </row>
    <row r="13" spans="1:21" x14ac:dyDescent="0.3">
      <c r="A13" t="s">
        <v>97</v>
      </c>
      <c r="B13">
        <v>204.27199999999999</v>
      </c>
      <c r="C13">
        <v>72.441000000000003</v>
      </c>
      <c r="D13">
        <v>47.654000000000003</v>
      </c>
      <c r="E13">
        <v>0.442</v>
      </c>
      <c r="F13">
        <v>76.353999999999999</v>
      </c>
      <c r="G13">
        <v>4.343</v>
      </c>
      <c r="H13">
        <v>95.14</v>
      </c>
      <c r="I13">
        <v>40.366</v>
      </c>
      <c r="J13">
        <v>4.1559999999999997</v>
      </c>
      <c r="K13">
        <v>230.02699999999999</v>
      </c>
      <c r="L13">
        <v>6.0369999999999999</v>
      </c>
      <c r="M13">
        <v>52.728999999999999</v>
      </c>
      <c r="N13">
        <v>5.944</v>
      </c>
      <c r="O13">
        <v>0.92</v>
      </c>
      <c r="P13">
        <v>0</v>
      </c>
      <c r="Q13">
        <v>45.011000000000003</v>
      </c>
      <c r="R13">
        <v>44.5</v>
      </c>
      <c r="S13">
        <v>22.954000000000001</v>
      </c>
    </row>
    <row r="14" spans="1:21" x14ac:dyDescent="0.3">
      <c r="A14" t="s">
        <v>98</v>
      </c>
      <c r="B14">
        <v>203.94300000000001</v>
      </c>
      <c r="C14">
        <v>72.238</v>
      </c>
      <c r="D14">
        <v>48.124000000000002</v>
      </c>
      <c r="E14">
        <v>0.437</v>
      </c>
      <c r="F14">
        <v>77.007999999999996</v>
      </c>
      <c r="G14">
        <v>4.2880000000000003</v>
      </c>
      <c r="H14">
        <v>95.918999999999997</v>
      </c>
      <c r="I14">
        <v>40.325000000000003</v>
      </c>
      <c r="J14">
        <v>4.1639999999999997</v>
      </c>
      <c r="K14">
        <v>230.404</v>
      </c>
      <c r="L14">
        <v>6.0519999999999996</v>
      </c>
      <c r="M14">
        <v>52.890999999999998</v>
      </c>
      <c r="N14">
        <v>5.944</v>
      </c>
      <c r="O14">
        <v>0.92400000000000004</v>
      </c>
      <c r="P14">
        <v>0</v>
      </c>
      <c r="Q14">
        <v>45.829000000000001</v>
      </c>
      <c r="R14">
        <v>44.5</v>
      </c>
      <c r="S14">
        <v>22.954000000000001</v>
      </c>
    </row>
    <row r="15" spans="1:21" x14ac:dyDescent="0.3">
      <c r="A15" t="s">
        <v>99</v>
      </c>
      <c r="B15">
        <v>204.22800000000001</v>
      </c>
      <c r="C15">
        <v>72.072999999999993</v>
      </c>
      <c r="D15">
        <v>48.412999999999997</v>
      </c>
      <c r="E15">
        <v>0.44900000000000001</v>
      </c>
      <c r="F15">
        <v>76.715000000000003</v>
      </c>
      <c r="G15">
        <v>3.6070000000000002</v>
      </c>
      <c r="H15">
        <v>95.796000000000006</v>
      </c>
      <c r="I15">
        <v>40.642000000000003</v>
      </c>
      <c r="J15">
        <v>4.1559999999999997</v>
      </c>
      <c r="K15">
        <v>229.977</v>
      </c>
      <c r="L15">
        <v>6.0629999999999997</v>
      </c>
      <c r="M15">
        <v>52.881</v>
      </c>
      <c r="N15">
        <v>5.93</v>
      </c>
      <c r="O15">
        <v>0.94199999999999995</v>
      </c>
      <c r="P15">
        <v>0</v>
      </c>
      <c r="Q15">
        <v>45.917999999999999</v>
      </c>
      <c r="R15">
        <v>44.5</v>
      </c>
      <c r="S15">
        <v>22.954000000000001</v>
      </c>
    </row>
    <row r="16" spans="1:21" x14ac:dyDescent="0.3">
      <c r="A16" t="s">
        <v>100</v>
      </c>
      <c r="B16">
        <v>204.261</v>
      </c>
      <c r="C16">
        <v>72.113</v>
      </c>
      <c r="D16">
        <v>48.655999999999999</v>
      </c>
      <c r="E16">
        <v>0.46200000000000002</v>
      </c>
      <c r="F16">
        <v>77.302999999999997</v>
      </c>
      <c r="G16">
        <v>3.661</v>
      </c>
      <c r="H16">
        <v>94.718000000000004</v>
      </c>
      <c r="I16">
        <v>40.904000000000003</v>
      </c>
      <c r="J16">
        <v>4.1630000000000003</v>
      </c>
      <c r="K16">
        <v>230.30600000000001</v>
      </c>
      <c r="L16">
        <v>6.0529999999999999</v>
      </c>
      <c r="M16">
        <v>52.875</v>
      </c>
      <c r="N16">
        <v>5.94</v>
      </c>
      <c r="O16">
        <v>0.91200000000000003</v>
      </c>
      <c r="P16">
        <v>0</v>
      </c>
      <c r="Q16">
        <v>45.082999999999998</v>
      </c>
      <c r="R16">
        <v>44.6</v>
      </c>
      <c r="S16">
        <v>22.954000000000001</v>
      </c>
    </row>
    <row r="17" spans="1:19" x14ac:dyDescent="0.3">
      <c r="A17" t="s">
        <v>101</v>
      </c>
      <c r="B17">
        <v>204.245</v>
      </c>
      <c r="C17">
        <v>71.896000000000001</v>
      </c>
      <c r="D17">
        <v>48.662999999999997</v>
      </c>
      <c r="E17">
        <v>0.45900000000000002</v>
      </c>
      <c r="F17">
        <v>75.444000000000003</v>
      </c>
      <c r="G17">
        <v>3.415</v>
      </c>
      <c r="H17">
        <v>93.613</v>
      </c>
      <c r="I17">
        <v>41.076999999999998</v>
      </c>
      <c r="J17">
        <v>4.1550000000000002</v>
      </c>
      <c r="K17">
        <v>230.059</v>
      </c>
      <c r="L17">
        <v>6.0389999999999997</v>
      </c>
      <c r="M17">
        <v>52.728999999999999</v>
      </c>
      <c r="N17">
        <v>5.9459999999999997</v>
      </c>
      <c r="O17">
        <v>0.90900000000000003</v>
      </c>
      <c r="P17">
        <v>0</v>
      </c>
      <c r="Q17">
        <v>43.622999999999998</v>
      </c>
      <c r="R17">
        <v>44.7</v>
      </c>
      <c r="S17">
        <v>22.954000000000001</v>
      </c>
    </row>
    <row r="18" spans="1:19" x14ac:dyDescent="0.3">
      <c r="A18" t="s">
        <v>102</v>
      </c>
      <c r="B18">
        <v>204.41300000000001</v>
      </c>
      <c r="C18">
        <v>71.88</v>
      </c>
      <c r="D18">
        <v>48.701999999999998</v>
      </c>
      <c r="E18">
        <v>0.47499999999999998</v>
      </c>
      <c r="F18">
        <v>76.445999999999998</v>
      </c>
      <c r="G18">
        <v>3.1749999999999998</v>
      </c>
      <c r="H18">
        <v>92.436999999999998</v>
      </c>
      <c r="I18">
        <v>41.685000000000002</v>
      </c>
      <c r="J18">
        <v>4.1630000000000003</v>
      </c>
      <c r="K18">
        <v>230.45400000000001</v>
      </c>
      <c r="L18">
        <v>6.0460000000000003</v>
      </c>
      <c r="M18">
        <v>52.69</v>
      </c>
      <c r="N18">
        <v>5.9470000000000001</v>
      </c>
      <c r="O18">
        <v>0.91800000000000004</v>
      </c>
      <c r="P18">
        <v>0</v>
      </c>
      <c r="Q18">
        <v>42.262999999999998</v>
      </c>
      <c r="R18">
        <v>45</v>
      </c>
      <c r="S18">
        <v>22.954000000000001</v>
      </c>
    </row>
    <row r="19" spans="1:19" x14ac:dyDescent="0.3">
      <c r="A19" t="s">
        <v>103</v>
      </c>
      <c r="B19">
        <v>203.482</v>
      </c>
      <c r="C19">
        <v>71.863</v>
      </c>
      <c r="D19">
        <v>48.728999999999999</v>
      </c>
      <c r="E19">
        <v>0.5</v>
      </c>
      <c r="F19">
        <v>76.662999999999997</v>
      </c>
      <c r="G19">
        <v>3.04</v>
      </c>
      <c r="H19">
        <v>92.88</v>
      </c>
      <c r="I19">
        <v>41.319000000000003</v>
      </c>
      <c r="J19">
        <v>4.1550000000000002</v>
      </c>
      <c r="K19">
        <v>230.07599999999999</v>
      </c>
      <c r="L19">
        <v>6.0419999999999998</v>
      </c>
      <c r="M19">
        <v>52.741</v>
      </c>
      <c r="N19">
        <v>5.9409999999999998</v>
      </c>
      <c r="O19">
        <v>0.91200000000000003</v>
      </c>
      <c r="P19">
        <v>0</v>
      </c>
      <c r="Q19">
        <v>42.118000000000002</v>
      </c>
      <c r="R19">
        <v>45.1</v>
      </c>
      <c r="S19">
        <v>22.954000000000001</v>
      </c>
    </row>
    <row r="20" spans="1:19" x14ac:dyDescent="0.3">
      <c r="A20" t="s">
        <v>104</v>
      </c>
      <c r="B20">
        <v>204.19</v>
      </c>
      <c r="C20">
        <v>71.84</v>
      </c>
      <c r="D20">
        <v>48.948999999999998</v>
      </c>
      <c r="E20">
        <v>0.46300000000000002</v>
      </c>
      <c r="F20">
        <v>76.453000000000003</v>
      </c>
      <c r="G20">
        <v>2.3519999999999999</v>
      </c>
      <c r="H20">
        <v>94.646000000000001</v>
      </c>
      <c r="I20">
        <v>41.972000000000001</v>
      </c>
      <c r="J20">
        <v>4.1630000000000003</v>
      </c>
      <c r="K20">
        <v>230.37200000000001</v>
      </c>
      <c r="L20">
        <v>6.05</v>
      </c>
      <c r="M20">
        <v>52.755000000000003</v>
      </c>
      <c r="N20">
        <v>5.9429999999999996</v>
      </c>
      <c r="O20">
        <v>0.91300000000000003</v>
      </c>
      <c r="P20">
        <v>0</v>
      </c>
      <c r="Q20">
        <v>43.902000000000001</v>
      </c>
      <c r="R20">
        <v>45</v>
      </c>
      <c r="S20">
        <v>22.954000000000001</v>
      </c>
    </row>
    <row r="21" spans="1:19" x14ac:dyDescent="0.3">
      <c r="A21" t="s">
        <v>105</v>
      </c>
      <c r="B21">
        <v>204.15700000000001</v>
      </c>
      <c r="C21">
        <v>71.718999999999994</v>
      </c>
      <c r="D21">
        <v>49.155999999999999</v>
      </c>
      <c r="E21">
        <v>0.42399999999999999</v>
      </c>
      <c r="F21">
        <v>76.484999999999999</v>
      </c>
      <c r="G21">
        <v>2.718</v>
      </c>
      <c r="H21">
        <v>96.415000000000006</v>
      </c>
      <c r="I21">
        <v>42.054000000000002</v>
      </c>
      <c r="J21">
        <v>4.1589999999999998</v>
      </c>
      <c r="K21">
        <v>229.977</v>
      </c>
      <c r="L21">
        <v>6.048</v>
      </c>
      <c r="M21">
        <v>53.005000000000003</v>
      </c>
      <c r="N21">
        <v>5.944</v>
      </c>
      <c r="O21">
        <v>0.91600000000000004</v>
      </c>
      <c r="P21">
        <v>0</v>
      </c>
      <c r="Q21">
        <v>46.142000000000003</v>
      </c>
      <c r="R21">
        <v>44.7</v>
      </c>
      <c r="S21">
        <v>22.954000000000001</v>
      </c>
    </row>
    <row r="22" spans="1:19" x14ac:dyDescent="0.3">
      <c r="A22" t="s">
        <v>106</v>
      </c>
      <c r="B22">
        <v>204.78</v>
      </c>
      <c r="C22">
        <v>71.816999999999993</v>
      </c>
      <c r="D22">
        <v>49.139000000000003</v>
      </c>
      <c r="E22">
        <v>0.39500000000000002</v>
      </c>
      <c r="F22">
        <v>76.090999999999994</v>
      </c>
      <c r="G22">
        <v>2.3679999999999999</v>
      </c>
      <c r="H22">
        <v>97.120999999999995</v>
      </c>
      <c r="I22">
        <v>42.341999999999999</v>
      </c>
      <c r="J22">
        <v>4.1609999999999996</v>
      </c>
      <c r="K22">
        <v>230.404</v>
      </c>
      <c r="L22">
        <v>6.0570000000000004</v>
      </c>
      <c r="M22">
        <v>52.734999999999999</v>
      </c>
      <c r="N22">
        <v>5.94</v>
      </c>
      <c r="O22">
        <v>0.90900000000000003</v>
      </c>
      <c r="P22">
        <v>0</v>
      </c>
      <c r="Q22">
        <v>47.27</v>
      </c>
      <c r="R22">
        <v>44.4</v>
      </c>
      <c r="S22">
        <v>22.954000000000001</v>
      </c>
    </row>
    <row r="23" spans="1:19" x14ac:dyDescent="0.3">
      <c r="A23" t="s">
        <v>107</v>
      </c>
      <c r="B23">
        <v>204.458</v>
      </c>
      <c r="C23">
        <v>71.88</v>
      </c>
      <c r="D23">
        <v>49.155999999999999</v>
      </c>
      <c r="E23">
        <v>0.443</v>
      </c>
      <c r="F23">
        <v>76.052000000000007</v>
      </c>
      <c r="G23">
        <v>2.4870000000000001</v>
      </c>
      <c r="H23">
        <v>96.605999999999995</v>
      </c>
      <c r="I23">
        <v>42.448</v>
      </c>
      <c r="J23">
        <v>4.1580000000000004</v>
      </c>
      <c r="K23">
        <v>230.04300000000001</v>
      </c>
      <c r="L23">
        <v>6.0519999999999996</v>
      </c>
      <c r="M23">
        <v>52.744999999999997</v>
      </c>
      <c r="N23">
        <v>5.9379999999999997</v>
      </c>
      <c r="O23">
        <v>0.93200000000000005</v>
      </c>
      <c r="P23">
        <v>0</v>
      </c>
      <c r="Q23">
        <v>46.965000000000003</v>
      </c>
      <c r="R23">
        <v>44.4</v>
      </c>
      <c r="S23">
        <v>22.954000000000001</v>
      </c>
    </row>
    <row r="24" spans="1:19" x14ac:dyDescent="0.3">
      <c r="A24" t="s">
        <v>108</v>
      </c>
      <c r="B24">
        <v>204.82</v>
      </c>
      <c r="C24">
        <v>71.843000000000004</v>
      </c>
      <c r="D24">
        <v>49.11</v>
      </c>
      <c r="E24">
        <v>0.46800000000000003</v>
      </c>
      <c r="F24">
        <v>75.122</v>
      </c>
      <c r="G24">
        <v>2.3239999999999998</v>
      </c>
      <c r="H24">
        <v>95.143000000000001</v>
      </c>
      <c r="I24">
        <v>42.432000000000002</v>
      </c>
      <c r="J24">
        <v>4.157</v>
      </c>
      <c r="K24">
        <v>230.35499999999999</v>
      </c>
      <c r="L24">
        <v>6.048</v>
      </c>
      <c r="M24">
        <v>52.598999999999997</v>
      </c>
      <c r="N24">
        <v>5.9340000000000002</v>
      </c>
      <c r="O24">
        <v>0.93200000000000005</v>
      </c>
      <c r="P24">
        <v>0</v>
      </c>
      <c r="Q24">
        <v>45.274999999999999</v>
      </c>
      <c r="R24">
        <v>44.5</v>
      </c>
      <c r="S24">
        <v>22.954000000000001</v>
      </c>
    </row>
    <row r="25" spans="1:19" x14ac:dyDescent="0.3">
      <c r="A25" t="s">
        <v>109</v>
      </c>
      <c r="B25">
        <v>204.75399999999999</v>
      </c>
      <c r="C25">
        <v>71.991</v>
      </c>
      <c r="D25">
        <v>49.008000000000003</v>
      </c>
      <c r="E25">
        <v>0.47799999999999998</v>
      </c>
      <c r="F25">
        <v>76.100999999999999</v>
      </c>
      <c r="G25">
        <v>2.585</v>
      </c>
      <c r="H25">
        <v>92.933999999999997</v>
      </c>
      <c r="I25">
        <v>43.179000000000002</v>
      </c>
      <c r="J25">
        <v>4.16</v>
      </c>
      <c r="K25">
        <v>230.125</v>
      </c>
      <c r="L25">
        <v>6.048</v>
      </c>
      <c r="M25">
        <v>52.704999999999998</v>
      </c>
      <c r="N25">
        <v>5.94</v>
      </c>
      <c r="O25">
        <v>0.91</v>
      </c>
      <c r="P25">
        <v>0</v>
      </c>
      <c r="Q25">
        <v>42.725999999999999</v>
      </c>
      <c r="R25">
        <v>44.8</v>
      </c>
      <c r="S25">
        <v>22.954000000000001</v>
      </c>
    </row>
    <row r="26" spans="1:19" x14ac:dyDescent="0.3">
      <c r="A26" t="s">
        <v>110</v>
      </c>
      <c r="B26">
        <v>205.16800000000001</v>
      </c>
      <c r="C26">
        <v>71.977999999999994</v>
      </c>
      <c r="D26">
        <v>48.817</v>
      </c>
      <c r="E26">
        <v>0.52900000000000003</v>
      </c>
      <c r="F26">
        <v>76.504999999999995</v>
      </c>
      <c r="G26">
        <v>2.62</v>
      </c>
      <c r="H26">
        <v>91.591999999999999</v>
      </c>
      <c r="I26">
        <v>43.064</v>
      </c>
      <c r="J26">
        <v>4.16</v>
      </c>
      <c r="K26">
        <v>230.322</v>
      </c>
      <c r="L26">
        <v>6.0449999999999999</v>
      </c>
      <c r="M26">
        <v>52.834000000000003</v>
      </c>
      <c r="N26">
        <v>5.9429999999999996</v>
      </c>
      <c r="O26">
        <v>0.90300000000000002</v>
      </c>
      <c r="P26">
        <v>0</v>
      </c>
      <c r="Q26">
        <v>39.738</v>
      </c>
      <c r="R26">
        <v>45.2</v>
      </c>
      <c r="S26">
        <v>22.954000000000001</v>
      </c>
    </row>
    <row r="27" spans="1:19" x14ac:dyDescent="0.3">
      <c r="A27" t="s">
        <v>111</v>
      </c>
      <c r="B27">
        <v>205.32300000000001</v>
      </c>
      <c r="C27">
        <v>72.123000000000005</v>
      </c>
      <c r="D27">
        <v>48.62</v>
      </c>
      <c r="E27">
        <v>0.51800000000000002</v>
      </c>
      <c r="F27">
        <v>77.3</v>
      </c>
      <c r="G27">
        <v>2.649</v>
      </c>
      <c r="H27">
        <v>93.584999999999994</v>
      </c>
      <c r="I27">
        <v>43.228999999999999</v>
      </c>
      <c r="J27">
        <v>4.16</v>
      </c>
      <c r="K27">
        <v>230.17400000000001</v>
      </c>
      <c r="L27">
        <v>6.0460000000000003</v>
      </c>
      <c r="M27">
        <v>52.682000000000002</v>
      </c>
      <c r="N27">
        <v>5.9390000000000001</v>
      </c>
      <c r="O27">
        <v>0.91700000000000004</v>
      </c>
      <c r="P27">
        <v>0</v>
      </c>
      <c r="Q27">
        <v>43.877000000000002</v>
      </c>
      <c r="R27">
        <v>45.4</v>
      </c>
      <c r="S27">
        <v>22.954000000000001</v>
      </c>
    </row>
    <row r="28" spans="1:19" x14ac:dyDescent="0.3">
      <c r="A28" t="s">
        <v>112</v>
      </c>
      <c r="B28">
        <v>204.517</v>
      </c>
      <c r="C28">
        <v>72.230999999999995</v>
      </c>
      <c r="D28">
        <v>48.466000000000001</v>
      </c>
      <c r="E28">
        <v>0.44400000000000001</v>
      </c>
      <c r="F28">
        <v>76.009</v>
      </c>
      <c r="G28">
        <v>2.7949999999999999</v>
      </c>
      <c r="H28">
        <v>96.471000000000004</v>
      </c>
      <c r="I28">
        <v>43.564999999999998</v>
      </c>
      <c r="J28">
        <v>4.1589999999999998</v>
      </c>
      <c r="K28">
        <v>230.30600000000001</v>
      </c>
      <c r="L28">
        <v>6.048</v>
      </c>
      <c r="M28">
        <v>53.085999999999999</v>
      </c>
      <c r="N28">
        <v>5.9420000000000002</v>
      </c>
      <c r="O28">
        <v>0.96</v>
      </c>
      <c r="P28">
        <v>0</v>
      </c>
      <c r="Q28">
        <v>46.773000000000003</v>
      </c>
      <c r="R28">
        <v>44.9</v>
      </c>
      <c r="S28">
        <v>22.954000000000001</v>
      </c>
    </row>
    <row r="29" spans="1:19" x14ac:dyDescent="0.3">
      <c r="A29" t="s">
        <v>113</v>
      </c>
      <c r="B29">
        <v>205.542</v>
      </c>
      <c r="C29">
        <v>72.316999999999993</v>
      </c>
      <c r="D29">
        <v>48.197000000000003</v>
      </c>
      <c r="E29">
        <v>0.34799999999999998</v>
      </c>
      <c r="F29">
        <v>76.173000000000002</v>
      </c>
      <c r="G29">
        <v>2.8050000000000002</v>
      </c>
      <c r="H29">
        <v>98.236000000000004</v>
      </c>
      <c r="I29">
        <v>43.466999999999999</v>
      </c>
      <c r="J29">
        <v>4.1609999999999996</v>
      </c>
      <c r="K29">
        <v>229.977</v>
      </c>
      <c r="L29">
        <v>6.0720000000000001</v>
      </c>
      <c r="M29">
        <v>52.871000000000002</v>
      </c>
      <c r="N29">
        <v>5.9409999999999998</v>
      </c>
      <c r="O29">
        <v>0.90500000000000003</v>
      </c>
      <c r="P29">
        <v>0</v>
      </c>
      <c r="Q29">
        <v>49.459000000000003</v>
      </c>
      <c r="R29">
        <v>44.4</v>
      </c>
      <c r="S29">
        <v>22.954000000000001</v>
      </c>
    </row>
    <row r="30" spans="1:19" x14ac:dyDescent="0.3">
      <c r="A30" t="s">
        <v>114</v>
      </c>
      <c r="B30">
        <v>205.89699999999999</v>
      </c>
      <c r="C30">
        <v>72.394999999999996</v>
      </c>
      <c r="D30">
        <v>47.917000000000002</v>
      </c>
      <c r="E30">
        <v>0.36399999999999999</v>
      </c>
      <c r="F30">
        <v>75.989000000000004</v>
      </c>
      <c r="G30">
        <v>2.7789999999999999</v>
      </c>
      <c r="H30">
        <v>97.257999999999996</v>
      </c>
      <c r="I30">
        <v>44.124000000000002</v>
      </c>
      <c r="J30">
        <v>4.1580000000000004</v>
      </c>
      <c r="K30">
        <v>230.25700000000001</v>
      </c>
      <c r="L30">
        <v>6.1059999999999999</v>
      </c>
      <c r="M30">
        <v>52.826000000000001</v>
      </c>
      <c r="N30">
        <v>5.9480000000000004</v>
      </c>
      <c r="O30">
        <v>0.91</v>
      </c>
      <c r="P30">
        <v>0</v>
      </c>
      <c r="Q30">
        <v>46.183</v>
      </c>
      <c r="R30">
        <v>44.2</v>
      </c>
      <c r="S30">
        <v>22.954000000000001</v>
      </c>
    </row>
    <row r="31" spans="1:19" x14ac:dyDescent="0.3">
      <c r="A31" t="s">
        <v>115</v>
      </c>
      <c r="B31">
        <v>206.167</v>
      </c>
      <c r="C31">
        <v>72.546999999999997</v>
      </c>
      <c r="D31">
        <v>47.732999999999997</v>
      </c>
      <c r="E31">
        <v>0.48399999999999999</v>
      </c>
      <c r="F31">
        <v>77.251000000000005</v>
      </c>
      <c r="G31">
        <v>2.919</v>
      </c>
      <c r="H31">
        <v>94.771000000000001</v>
      </c>
      <c r="I31">
        <v>43.951000000000001</v>
      </c>
      <c r="J31">
        <v>4.1619999999999999</v>
      </c>
      <c r="K31">
        <v>230.35499999999999</v>
      </c>
      <c r="L31">
        <v>6.1619999999999999</v>
      </c>
      <c r="M31">
        <v>52.774000000000001</v>
      </c>
      <c r="N31">
        <v>5.9429999999999996</v>
      </c>
      <c r="O31">
        <v>0.91300000000000003</v>
      </c>
      <c r="P31">
        <v>0</v>
      </c>
      <c r="Q31">
        <v>43.793999999999997</v>
      </c>
      <c r="R31">
        <v>44.5</v>
      </c>
      <c r="S31">
        <v>22.954000000000001</v>
      </c>
    </row>
    <row r="32" spans="1:19" x14ac:dyDescent="0.3">
      <c r="A32" t="s">
        <v>116</v>
      </c>
      <c r="B32">
        <v>205.994</v>
      </c>
      <c r="C32">
        <v>72.703999999999994</v>
      </c>
      <c r="D32">
        <v>47.463999999999999</v>
      </c>
      <c r="E32">
        <v>0.48399999999999999</v>
      </c>
      <c r="F32">
        <v>76.209999999999994</v>
      </c>
      <c r="G32">
        <v>3.0659999999999998</v>
      </c>
      <c r="H32">
        <v>91.995999999999995</v>
      </c>
      <c r="I32">
        <v>44.124000000000002</v>
      </c>
      <c r="J32">
        <v>4.1580000000000004</v>
      </c>
      <c r="K32">
        <v>230.28899999999999</v>
      </c>
      <c r="L32">
        <v>6.1379999999999999</v>
      </c>
      <c r="M32">
        <v>52.600999999999999</v>
      </c>
      <c r="N32">
        <v>5.94</v>
      </c>
      <c r="O32">
        <v>0.91500000000000004</v>
      </c>
      <c r="P32">
        <v>0</v>
      </c>
      <c r="Q32">
        <v>38.302999999999997</v>
      </c>
      <c r="R32">
        <v>45</v>
      </c>
      <c r="S32">
        <v>22.954000000000001</v>
      </c>
    </row>
    <row r="33" spans="1:19" x14ac:dyDescent="0.3">
      <c r="A33" t="s">
        <v>117</v>
      </c>
      <c r="B33">
        <v>205.62200000000001</v>
      </c>
      <c r="C33">
        <v>72.872</v>
      </c>
      <c r="D33">
        <v>47.122</v>
      </c>
      <c r="E33">
        <v>0.57499999999999996</v>
      </c>
      <c r="F33">
        <v>77.905000000000001</v>
      </c>
      <c r="G33">
        <v>3.4620000000000002</v>
      </c>
      <c r="H33">
        <v>94.608999999999995</v>
      </c>
      <c r="I33">
        <v>44.723999999999997</v>
      </c>
      <c r="J33">
        <v>4.1639999999999997</v>
      </c>
      <c r="K33">
        <v>230.45400000000001</v>
      </c>
      <c r="L33">
        <v>6.1550000000000002</v>
      </c>
      <c r="M33">
        <v>52.914000000000001</v>
      </c>
      <c r="N33">
        <v>5.9459999999999997</v>
      </c>
      <c r="O33">
        <v>0.90600000000000003</v>
      </c>
      <c r="P33">
        <v>0</v>
      </c>
      <c r="Q33">
        <v>44.125</v>
      </c>
      <c r="R33">
        <v>45.5</v>
      </c>
      <c r="S33">
        <v>22.954000000000001</v>
      </c>
    </row>
    <row r="34" spans="1:19" x14ac:dyDescent="0.3">
      <c r="A34" t="s">
        <v>118</v>
      </c>
      <c r="B34">
        <v>206.35400000000001</v>
      </c>
      <c r="C34">
        <v>72.953999999999994</v>
      </c>
      <c r="D34">
        <v>46.914999999999999</v>
      </c>
      <c r="E34">
        <v>0.504</v>
      </c>
      <c r="F34">
        <v>76.873000000000005</v>
      </c>
      <c r="G34">
        <v>3.5430000000000001</v>
      </c>
      <c r="H34">
        <v>97.61</v>
      </c>
      <c r="I34">
        <v>45.634999999999998</v>
      </c>
      <c r="J34">
        <v>4.16</v>
      </c>
      <c r="K34">
        <v>230.339</v>
      </c>
      <c r="L34">
        <v>6.1470000000000002</v>
      </c>
      <c r="M34">
        <v>52.991</v>
      </c>
      <c r="N34">
        <v>5.9429999999999996</v>
      </c>
      <c r="O34">
        <v>0.91</v>
      </c>
      <c r="P34">
        <v>0</v>
      </c>
      <c r="Q34">
        <v>48.017000000000003</v>
      </c>
      <c r="R34">
        <v>44.9</v>
      </c>
      <c r="S34">
        <v>22.954000000000001</v>
      </c>
    </row>
    <row r="35" spans="1:19" ht="15" thickBot="1" x14ac:dyDescent="0.35">
      <c r="A35" t="s">
        <v>119</v>
      </c>
      <c r="B35">
        <v>206.386</v>
      </c>
      <c r="C35">
        <v>73.138000000000005</v>
      </c>
      <c r="D35">
        <v>46.695</v>
      </c>
      <c r="E35">
        <v>0.376</v>
      </c>
      <c r="F35">
        <v>77.802999999999997</v>
      </c>
      <c r="G35">
        <v>4.1130000000000004</v>
      </c>
      <c r="H35">
        <v>99.319000000000003</v>
      </c>
      <c r="I35">
        <v>44.654000000000003</v>
      </c>
      <c r="J35">
        <v>4.1639999999999997</v>
      </c>
      <c r="K35">
        <v>230.339</v>
      </c>
      <c r="L35">
        <v>6.1550000000000002</v>
      </c>
      <c r="M35">
        <v>53.137</v>
      </c>
      <c r="N35">
        <v>5.9429999999999996</v>
      </c>
      <c r="O35">
        <v>0.91300000000000003</v>
      </c>
      <c r="P35">
        <v>0</v>
      </c>
      <c r="Q35">
        <v>50.414999999999999</v>
      </c>
      <c r="R35">
        <v>44.3</v>
      </c>
      <c r="S35">
        <v>22.954000000000001</v>
      </c>
    </row>
    <row r="36" spans="1:19" ht="15" thickBot="1" x14ac:dyDescent="0.35">
      <c r="A36" t="s">
        <v>30</v>
      </c>
      <c r="B36" s="1">
        <f>AVERAGE(B6:B35)</f>
        <v>204.65706666666674</v>
      </c>
      <c r="C36" s="1">
        <f>AVERAGE(C6:C35)</f>
        <v>72.516300000000001</v>
      </c>
      <c r="D36" s="1">
        <f t="shared" ref="D36:S36" si="0">AVERAGE(D6:D35)</f>
        <v>47.55266666666666</v>
      </c>
      <c r="E36" s="10">
        <f t="shared" si="0"/>
        <v>0.45696666666666663</v>
      </c>
      <c r="F36" s="1">
        <f t="shared" si="0"/>
        <v>76.777266666666662</v>
      </c>
      <c r="G36" s="1">
        <f t="shared" si="0"/>
        <v>3.97</v>
      </c>
      <c r="H36" s="10">
        <f t="shared" si="0"/>
        <v>95.130200000000002</v>
      </c>
      <c r="I36" s="1">
        <f t="shared" si="0"/>
        <v>41.782999999999987</v>
      </c>
      <c r="J36" s="8">
        <f t="shared" si="0"/>
        <v>4.1597</v>
      </c>
      <c r="K36" s="1">
        <f t="shared" si="0"/>
        <v>230.23409999999993</v>
      </c>
      <c r="L36" s="1">
        <f t="shared" si="0"/>
        <v>6.0679333333333334</v>
      </c>
      <c r="M36" s="1">
        <f t="shared" si="0"/>
        <v>52.808233333333341</v>
      </c>
      <c r="N36" s="1">
        <f t="shared" si="0"/>
        <v>5.941600000000002</v>
      </c>
      <c r="O36" s="1">
        <f t="shared" si="0"/>
        <v>0.91796666666666671</v>
      </c>
      <c r="P36" s="1">
        <f t="shared" si="0"/>
        <v>0</v>
      </c>
      <c r="Q36" s="1">
        <f t="shared" si="0"/>
        <v>44.963600000000007</v>
      </c>
      <c r="R36" s="1">
        <f t="shared" si="0"/>
        <v>44.656666666666673</v>
      </c>
      <c r="S36" s="1">
        <f t="shared" si="0"/>
        <v>22.930666666666657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5A0A-ABCF-4E41-A33F-DF9A0D50D034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0.55062500000000003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2.2642246342714798</v>
      </c>
      <c r="M2" s="8">
        <f>100*(R36/(R36+Q36))</f>
        <v>87.797640311894185</v>
      </c>
      <c r="O2" s="9">
        <f>100*((E36*C2)/((E36*C2)+(K2*E2)))</f>
        <v>13.652850131039006</v>
      </c>
      <c r="Q2" s="10">
        <f>100*J36*(1/(((C2/3.6)*E36)+((E2/3.6)*K2)))</f>
        <v>16.129017367212633</v>
      </c>
      <c r="S2" s="6">
        <v>3.54</v>
      </c>
      <c r="U2" s="10">
        <f>100*((((G36*0.001*60)*(C36-D36)*(S2/3.6)))/(((C2/3.6)*E36)+((E2/3.6)*K2)))</f>
        <v>23.720098173101103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120</v>
      </c>
      <c r="B6">
        <v>227.92</v>
      </c>
      <c r="C6">
        <v>73.992000000000004</v>
      </c>
      <c r="D6">
        <v>50.728999999999999</v>
      </c>
      <c r="E6">
        <v>0.434</v>
      </c>
      <c r="F6">
        <v>79.566999999999993</v>
      </c>
      <c r="G6">
        <v>6.2430000000000003</v>
      </c>
      <c r="H6">
        <v>60.046999999999997</v>
      </c>
      <c r="I6">
        <v>50.92</v>
      </c>
      <c r="J6">
        <v>5.875</v>
      </c>
      <c r="K6">
        <v>230.17400000000001</v>
      </c>
      <c r="L6">
        <v>8.5169999999999995</v>
      </c>
      <c r="M6">
        <v>52.756999999999998</v>
      </c>
      <c r="N6">
        <v>8.43</v>
      </c>
      <c r="O6">
        <v>0.84799999999999998</v>
      </c>
      <c r="P6">
        <v>0</v>
      </c>
      <c r="Q6">
        <v>6.8689999999999998</v>
      </c>
      <c r="R6">
        <v>49</v>
      </c>
      <c r="S6">
        <v>27.934999999999999</v>
      </c>
    </row>
    <row r="7" spans="1:21" x14ac:dyDescent="0.3">
      <c r="A7" t="s">
        <v>121</v>
      </c>
      <c r="B7">
        <v>228.90600000000001</v>
      </c>
      <c r="C7">
        <v>73.978999999999999</v>
      </c>
      <c r="D7">
        <v>50.67</v>
      </c>
      <c r="E7">
        <v>0.38700000000000001</v>
      </c>
      <c r="F7">
        <v>78.92</v>
      </c>
      <c r="G7">
        <v>6.4240000000000004</v>
      </c>
      <c r="H7">
        <v>60.081000000000003</v>
      </c>
      <c r="I7">
        <v>51.52</v>
      </c>
      <c r="J7">
        <v>5.88</v>
      </c>
      <c r="K7">
        <v>230.273</v>
      </c>
      <c r="L7">
        <v>8.5169999999999995</v>
      </c>
      <c r="M7">
        <v>52.792000000000002</v>
      </c>
      <c r="N7">
        <v>8.4350000000000005</v>
      </c>
      <c r="O7">
        <v>0.86199999999999999</v>
      </c>
      <c r="P7">
        <v>0</v>
      </c>
      <c r="Q7">
        <v>6.8029999999999999</v>
      </c>
      <c r="R7">
        <v>49.1</v>
      </c>
      <c r="S7">
        <v>27.934999999999999</v>
      </c>
    </row>
    <row r="8" spans="1:21" x14ac:dyDescent="0.3">
      <c r="A8" t="s">
        <v>122</v>
      </c>
      <c r="B8">
        <v>228.30699999999999</v>
      </c>
      <c r="C8">
        <v>73.959000000000003</v>
      </c>
      <c r="D8">
        <v>50.735999999999997</v>
      </c>
      <c r="E8">
        <v>0.42599999999999999</v>
      </c>
      <c r="F8">
        <v>80.069999999999993</v>
      </c>
      <c r="G8">
        <v>6.0129999999999999</v>
      </c>
      <c r="H8">
        <v>60.103999999999999</v>
      </c>
      <c r="I8">
        <v>51.898000000000003</v>
      </c>
      <c r="J8">
        <v>5.8739999999999997</v>
      </c>
      <c r="K8">
        <v>230.09200000000001</v>
      </c>
      <c r="L8">
        <v>8.5079999999999991</v>
      </c>
      <c r="M8">
        <v>52.771999999999998</v>
      </c>
      <c r="N8">
        <v>8.4329999999999998</v>
      </c>
      <c r="O8">
        <v>0.88</v>
      </c>
      <c r="P8">
        <v>0</v>
      </c>
      <c r="Q8">
        <v>6.7869999999999999</v>
      </c>
      <c r="R8">
        <v>49.1</v>
      </c>
      <c r="S8">
        <v>27.934999999999999</v>
      </c>
    </row>
    <row r="9" spans="1:21" x14ac:dyDescent="0.3">
      <c r="A9" t="s">
        <v>123</v>
      </c>
      <c r="B9">
        <v>228.601</v>
      </c>
      <c r="C9">
        <v>74.025000000000006</v>
      </c>
      <c r="D9">
        <v>50.728999999999999</v>
      </c>
      <c r="E9">
        <v>0.433</v>
      </c>
      <c r="F9">
        <v>80.152000000000001</v>
      </c>
      <c r="G9">
        <v>6.1349999999999998</v>
      </c>
      <c r="H9">
        <v>60.043999999999997</v>
      </c>
      <c r="I9">
        <v>52.78</v>
      </c>
      <c r="J9">
        <v>5.88</v>
      </c>
      <c r="K9">
        <v>230.42099999999999</v>
      </c>
      <c r="L9">
        <v>8.5310000000000006</v>
      </c>
      <c r="M9">
        <v>52.646000000000001</v>
      </c>
      <c r="N9">
        <v>8.4239999999999995</v>
      </c>
      <c r="O9">
        <v>0.873</v>
      </c>
      <c r="P9">
        <v>0</v>
      </c>
      <c r="Q9">
        <v>6.8330000000000002</v>
      </c>
      <c r="R9">
        <v>49.1</v>
      </c>
      <c r="S9">
        <v>27.934999999999999</v>
      </c>
    </row>
    <row r="10" spans="1:21" x14ac:dyDescent="0.3">
      <c r="A10" t="s">
        <v>124</v>
      </c>
      <c r="B10">
        <v>228.80799999999999</v>
      </c>
      <c r="C10">
        <v>74.076999999999998</v>
      </c>
      <c r="D10">
        <v>51.034999999999997</v>
      </c>
      <c r="E10">
        <v>0.42299999999999999</v>
      </c>
      <c r="F10">
        <v>80.066000000000003</v>
      </c>
      <c r="G10">
        <v>6.085</v>
      </c>
      <c r="H10">
        <v>59.999000000000002</v>
      </c>
      <c r="I10">
        <v>53.597999999999999</v>
      </c>
      <c r="J10">
        <v>5.8739999999999997</v>
      </c>
      <c r="K10">
        <v>230.125</v>
      </c>
      <c r="L10">
        <v>8.5079999999999991</v>
      </c>
      <c r="M10">
        <v>52.899000000000001</v>
      </c>
      <c r="N10">
        <v>8.4350000000000005</v>
      </c>
      <c r="O10">
        <v>0.872</v>
      </c>
      <c r="P10">
        <v>0</v>
      </c>
      <c r="Q10">
        <v>6.82</v>
      </c>
      <c r="R10">
        <v>49.1</v>
      </c>
      <c r="S10">
        <v>27.934999999999999</v>
      </c>
    </row>
    <row r="11" spans="1:21" x14ac:dyDescent="0.3">
      <c r="A11" t="s">
        <v>125</v>
      </c>
      <c r="B11">
        <v>229.14699999999999</v>
      </c>
      <c r="C11">
        <v>74.076999999999998</v>
      </c>
      <c r="D11">
        <v>51.173000000000002</v>
      </c>
      <c r="E11">
        <v>0.41799999999999998</v>
      </c>
      <c r="F11">
        <v>79.462000000000003</v>
      </c>
      <c r="G11">
        <v>6.3659999999999997</v>
      </c>
      <c r="H11">
        <v>59.860999999999997</v>
      </c>
      <c r="I11">
        <v>54.250999999999998</v>
      </c>
      <c r="J11">
        <v>5.88</v>
      </c>
      <c r="K11">
        <v>230.42099999999999</v>
      </c>
      <c r="L11">
        <v>8.4920000000000009</v>
      </c>
      <c r="M11">
        <v>52.710999999999999</v>
      </c>
      <c r="N11">
        <v>8.4280000000000008</v>
      </c>
      <c r="O11">
        <v>0.88200000000000001</v>
      </c>
      <c r="P11">
        <v>0</v>
      </c>
      <c r="Q11">
        <v>6.78</v>
      </c>
      <c r="R11">
        <v>49.1</v>
      </c>
      <c r="S11">
        <v>27.934999999999999</v>
      </c>
    </row>
    <row r="12" spans="1:21" x14ac:dyDescent="0.3">
      <c r="A12" t="s">
        <v>126</v>
      </c>
      <c r="B12">
        <v>228.863</v>
      </c>
      <c r="C12">
        <v>74.045000000000002</v>
      </c>
      <c r="D12">
        <v>51.17</v>
      </c>
      <c r="E12">
        <v>0.41299999999999998</v>
      </c>
      <c r="F12">
        <v>80.391999999999996</v>
      </c>
      <c r="G12">
        <v>5.8259999999999996</v>
      </c>
      <c r="H12">
        <v>59.933999999999997</v>
      </c>
      <c r="I12">
        <v>54.668999999999997</v>
      </c>
      <c r="J12">
        <v>5.8719999999999999</v>
      </c>
      <c r="K12">
        <v>230.02699999999999</v>
      </c>
      <c r="L12">
        <v>8.4339999999999993</v>
      </c>
      <c r="M12">
        <v>52.804000000000002</v>
      </c>
      <c r="N12">
        <v>8.4830000000000005</v>
      </c>
      <c r="O12">
        <v>0.873</v>
      </c>
      <c r="P12">
        <v>0</v>
      </c>
      <c r="Q12">
        <v>6.8339999999999996</v>
      </c>
      <c r="R12">
        <v>49.1</v>
      </c>
      <c r="S12">
        <v>27.934999999999999</v>
      </c>
    </row>
    <row r="13" spans="1:21" x14ac:dyDescent="0.3">
      <c r="A13" t="s">
        <v>127</v>
      </c>
      <c r="B13">
        <v>228.37700000000001</v>
      </c>
      <c r="C13">
        <v>74.063999999999993</v>
      </c>
      <c r="D13">
        <v>51.189</v>
      </c>
      <c r="E13">
        <v>0.443</v>
      </c>
      <c r="F13">
        <v>80.513000000000005</v>
      </c>
      <c r="G13">
        <v>6.3010000000000002</v>
      </c>
      <c r="H13">
        <v>60.064</v>
      </c>
      <c r="I13">
        <v>55.576999999999998</v>
      </c>
      <c r="J13">
        <v>5.8860000000000001</v>
      </c>
      <c r="K13">
        <v>230.339</v>
      </c>
      <c r="L13">
        <v>8.4269999999999996</v>
      </c>
      <c r="M13">
        <v>52.901000000000003</v>
      </c>
      <c r="N13">
        <v>8.43</v>
      </c>
      <c r="O13">
        <v>0.85899999999999999</v>
      </c>
      <c r="P13">
        <v>0</v>
      </c>
      <c r="Q13">
        <v>6.8079999999999998</v>
      </c>
      <c r="R13">
        <v>49.1</v>
      </c>
      <c r="S13">
        <v>27.934999999999999</v>
      </c>
    </row>
    <row r="14" spans="1:21" x14ac:dyDescent="0.3">
      <c r="A14" t="s">
        <v>128</v>
      </c>
      <c r="B14">
        <v>228.59899999999999</v>
      </c>
      <c r="C14">
        <v>74.037999999999997</v>
      </c>
      <c r="D14">
        <v>51.274999999999999</v>
      </c>
      <c r="E14">
        <v>0.438</v>
      </c>
      <c r="F14">
        <v>79.787000000000006</v>
      </c>
      <c r="G14">
        <v>6.2229999999999999</v>
      </c>
      <c r="H14">
        <v>60.125999999999998</v>
      </c>
      <c r="I14">
        <v>56.393999999999998</v>
      </c>
      <c r="J14">
        <v>5.8730000000000002</v>
      </c>
      <c r="K14">
        <v>230.07599999999999</v>
      </c>
      <c r="L14">
        <v>8.4120000000000008</v>
      </c>
      <c r="M14">
        <v>52.822000000000003</v>
      </c>
      <c r="N14">
        <v>8.4309999999999992</v>
      </c>
      <c r="O14">
        <v>0.875</v>
      </c>
      <c r="P14">
        <v>0</v>
      </c>
      <c r="Q14">
        <v>6.7169999999999996</v>
      </c>
      <c r="R14">
        <v>49.1</v>
      </c>
      <c r="S14">
        <v>27.934999999999999</v>
      </c>
    </row>
    <row r="15" spans="1:21" x14ac:dyDescent="0.3">
      <c r="A15" t="s">
        <v>129</v>
      </c>
      <c r="B15">
        <v>228.59899999999999</v>
      </c>
      <c r="C15">
        <v>74.045000000000002</v>
      </c>
      <c r="D15">
        <v>51.219000000000001</v>
      </c>
      <c r="E15">
        <v>0.41599999999999998</v>
      </c>
      <c r="F15">
        <v>79.816999999999993</v>
      </c>
      <c r="G15">
        <v>6.5880000000000001</v>
      </c>
      <c r="H15">
        <v>59.881</v>
      </c>
      <c r="I15">
        <v>57.034999999999997</v>
      </c>
      <c r="J15">
        <v>5.883</v>
      </c>
      <c r="K15">
        <v>230.56899999999999</v>
      </c>
      <c r="L15">
        <v>8.43</v>
      </c>
      <c r="M15">
        <v>52.869</v>
      </c>
      <c r="N15">
        <v>8.4420000000000002</v>
      </c>
      <c r="O15">
        <v>0.86799999999999999</v>
      </c>
      <c r="P15">
        <v>0</v>
      </c>
      <c r="Q15">
        <v>6.97</v>
      </c>
      <c r="R15">
        <v>49.1</v>
      </c>
      <c r="S15">
        <v>27.934999999999999</v>
      </c>
    </row>
    <row r="16" spans="1:21" x14ac:dyDescent="0.3">
      <c r="A16" t="s">
        <v>130</v>
      </c>
      <c r="B16">
        <v>228.988</v>
      </c>
      <c r="C16">
        <v>74.084000000000003</v>
      </c>
      <c r="D16">
        <v>51.290999999999997</v>
      </c>
      <c r="E16">
        <v>0.40200000000000002</v>
      </c>
      <c r="F16">
        <v>80.210999999999999</v>
      </c>
      <c r="G16">
        <v>6.4320000000000004</v>
      </c>
      <c r="H16">
        <v>60.152000000000001</v>
      </c>
      <c r="I16">
        <v>57.478000000000002</v>
      </c>
      <c r="J16">
        <v>5.8710000000000004</v>
      </c>
      <c r="K16">
        <v>230.07599999999999</v>
      </c>
      <c r="L16">
        <v>8.4079999999999995</v>
      </c>
      <c r="M16">
        <v>52.703000000000003</v>
      </c>
      <c r="N16">
        <v>8.43</v>
      </c>
      <c r="O16">
        <v>0.89400000000000002</v>
      </c>
      <c r="P16">
        <v>0</v>
      </c>
      <c r="Q16">
        <v>6.7709999999999999</v>
      </c>
      <c r="R16">
        <v>49.1</v>
      </c>
      <c r="S16">
        <v>27.934999999999999</v>
      </c>
    </row>
    <row r="17" spans="1:19" x14ac:dyDescent="0.3">
      <c r="A17" t="s">
        <v>131</v>
      </c>
      <c r="B17">
        <v>228.96</v>
      </c>
      <c r="C17">
        <v>74.114000000000004</v>
      </c>
      <c r="D17">
        <v>51.426000000000002</v>
      </c>
      <c r="E17">
        <v>0.434</v>
      </c>
      <c r="F17">
        <v>79.858999999999995</v>
      </c>
      <c r="G17">
        <v>6.6369999999999996</v>
      </c>
      <c r="H17">
        <v>60.216000000000001</v>
      </c>
      <c r="I17">
        <v>58.386000000000003</v>
      </c>
      <c r="J17">
        <v>5.8840000000000003</v>
      </c>
      <c r="K17">
        <v>230.43700000000001</v>
      </c>
      <c r="L17">
        <v>8.4149999999999991</v>
      </c>
      <c r="M17">
        <v>52.921999999999997</v>
      </c>
      <c r="N17">
        <v>8.4359999999999999</v>
      </c>
      <c r="O17">
        <v>0.874</v>
      </c>
      <c r="P17">
        <v>0</v>
      </c>
      <c r="Q17">
        <v>6.7649999999999997</v>
      </c>
      <c r="R17">
        <v>49.1</v>
      </c>
      <c r="S17">
        <v>27.934999999999999</v>
      </c>
    </row>
    <row r="18" spans="1:19" x14ac:dyDescent="0.3">
      <c r="A18" t="s">
        <v>132</v>
      </c>
      <c r="B18">
        <v>228.72</v>
      </c>
      <c r="C18">
        <v>74.058000000000007</v>
      </c>
      <c r="D18">
        <v>51.418999999999997</v>
      </c>
      <c r="E18">
        <v>0.42099999999999999</v>
      </c>
      <c r="F18">
        <v>80.650999999999996</v>
      </c>
      <c r="G18">
        <v>6.9560000000000004</v>
      </c>
      <c r="H18">
        <v>60.186999999999998</v>
      </c>
      <c r="I18">
        <v>59.191000000000003</v>
      </c>
      <c r="J18">
        <v>5.8730000000000002</v>
      </c>
      <c r="K18">
        <v>230.07599999999999</v>
      </c>
      <c r="L18">
        <v>8.4039999999999999</v>
      </c>
      <c r="M18">
        <v>52.744999999999997</v>
      </c>
      <c r="N18">
        <v>8.43</v>
      </c>
      <c r="O18">
        <v>0.86099999999999999</v>
      </c>
      <c r="P18">
        <v>0</v>
      </c>
      <c r="Q18">
        <v>6.843</v>
      </c>
      <c r="R18">
        <v>49.2</v>
      </c>
      <c r="S18">
        <v>27.934999999999999</v>
      </c>
    </row>
    <row r="19" spans="1:19" x14ac:dyDescent="0.3">
      <c r="A19" t="s">
        <v>133</v>
      </c>
      <c r="B19">
        <v>229.17599999999999</v>
      </c>
      <c r="C19">
        <v>74.081000000000003</v>
      </c>
      <c r="D19">
        <v>51.469000000000001</v>
      </c>
      <c r="E19">
        <v>0.42699999999999999</v>
      </c>
      <c r="F19">
        <v>80.881</v>
      </c>
      <c r="G19">
        <v>6.6310000000000002</v>
      </c>
      <c r="H19">
        <v>60.119</v>
      </c>
      <c r="I19">
        <v>59.585000000000001</v>
      </c>
      <c r="J19">
        <v>5.883</v>
      </c>
      <c r="K19">
        <v>230.50299999999999</v>
      </c>
      <c r="L19">
        <v>8.4179999999999993</v>
      </c>
      <c r="M19">
        <v>52.863</v>
      </c>
      <c r="N19">
        <v>8.4359999999999999</v>
      </c>
      <c r="O19">
        <v>0.86199999999999999</v>
      </c>
      <c r="P19">
        <v>0</v>
      </c>
      <c r="Q19">
        <v>6.883</v>
      </c>
      <c r="R19">
        <v>49.2</v>
      </c>
      <c r="S19">
        <v>27.934999999999999</v>
      </c>
    </row>
    <row r="20" spans="1:19" x14ac:dyDescent="0.3">
      <c r="A20" t="s">
        <v>134</v>
      </c>
      <c r="B20">
        <v>228.851</v>
      </c>
      <c r="C20">
        <v>74.096999999999994</v>
      </c>
      <c r="D20">
        <v>51.567</v>
      </c>
      <c r="E20">
        <v>0.41899999999999998</v>
      </c>
      <c r="F20">
        <v>79.432000000000002</v>
      </c>
      <c r="G20">
        <v>6.6210000000000004</v>
      </c>
      <c r="H20">
        <v>60.087000000000003</v>
      </c>
      <c r="I20">
        <v>60.119</v>
      </c>
      <c r="J20">
        <v>5.8730000000000002</v>
      </c>
      <c r="K20">
        <v>230.10900000000001</v>
      </c>
      <c r="L20">
        <v>8.4079999999999995</v>
      </c>
      <c r="M20">
        <v>52.731000000000002</v>
      </c>
      <c r="N20">
        <v>8.4269999999999996</v>
      </c>
      <c r="O20">
        <v>0.871</v>
      </c>
      <c r="P20">
        <v>0</v>
      </c>
      <c r="Q20">
        <v>6.7729999999999997</v>
      </c>
      <c r="R20">
        <v>49.2</v>
      </c>
      <c r="S20">
        <v>27.934999999999999</v>
      </c>
    </row>
    <row r="21" spans="1:19" x14ac:dyDescent="0.3">
      <c r="A21" t="s">
        <v>135</v>
      </c>
      <c r="B21">
        <v>229.38900000000001</v>
      </c>
      <c r="C21">
        <v>74.132999999999996</v>
      </c>
      <c r="D21">
        <v>51.761000000000003</v>
      </c>
      <c r="E21">
        <v>0.38700000000000001</v>
      </c>
      <c r="F21">
        <v>78.066000000000003</v>
      </c>
      <c r="G21">
        <v>6.55</v>
      </c>
      <c r="H21">
        <v>60.204999999999998</v>
      </c>
      <c r="I21">
        <v>60.825000000000003</v>
      </c>
      <c r="J21">
        <v>5.883</v>
      </c>
      <c r="K21">
        <v>230.55199999999999</v>
      </c>
      <c r="L21">
        <v>8.4190000000000005</v>
      </c>
      <c r="M21">
        <v>52.741</v>
      </c>
      <c r="N21">
        <v>8.4309999999999992</v>
      </c>
      <c r="O21">
        <v>0.86499999999999999</v>
      </c>
      <c r="P21">
        <v>0</v>
      </c>
      <c r="Q21">
        <v>6.867</v>
      </c>
      <c r="R21">
        <v>49.2</v>
      </c>
      <c r="S21">
        <v>27.934999999999999</v>
      </c>
    </row>
    <row r="22" spans="1:19" x14ac:dyDescent="0.3">
      <c r="A22" t="s">
        <v>136</v>
      </c>
      <c r="B22">
        <v>229.24700000000001</v>
      </c>
      <c r="C22">
        <v>74.106999999999999</v>
      </c>
      <c r="D22">
        <v>51.866</v>
      </c>
      <c r="E22">
        <v>0.46200000000000002</v>
      </c>
      <c r="F22">
        <v>79.971000000000004</v>
      </c>
      <c r="G22">
        <v>6.6239999999999997</v>
      </c>
      <c r="H22">
        <v>60.149000000000001</v>
      </c>
      <c r="I22">
        <v>61.466000000000001</v>
      </c>
      <c r="J22">
        <v>5.8710000000000004</v>
      </c>
      <c r="K22">
        <v>229.94399999999999</v>
      </c>
      <c r="L22">
        <v>8.4090000000000007</v>
      </c>
      <c r="M22">
        <v>52.743000000000002</v>
      </c>
      <c r="N22">
        <v>8.4320000000000004</v>
      </c>
      <c r="O22">
        <v>0.86899999999999999</v>
      </c>
      <c r="P22">
        <v>0</v>
      </c>
      <c r="Q22">
        <v>6.8920000000000003</v>
      </c>
      <c r="R22">
        <v>49.1</v>
      </c>
      <c r="S22">
        <v>27.934999999999999</v>
      </c>
    </row>
    <row r="23" spans="1:19" x14ac:dyDescent="0.3">
      <c r="A23" t="s">
        <v>137</v>
      </c>
      <c r="B23">
        <v>229.447</v>
      </c>
      <c r="C23">
        <v>74.11</v>
      </c>
      <c r="D23">
        <v>52.036999999999999</v>
      </c>
      <c r="E23">
        <v>0.41699999999999998</v>
      </c>
      <c r="F23">
        <v>80.129000000000005</v>
      </c>
      <c r="G23">
        <v>6.6440000000000001</v>
      </c>
      <c r="H23">
        <v>60.305999999999997</v>
      </c>
      <c r="I23">
        <v>61.926000000000002</v>
      </c>
      <c r="J23">
        <v>5.8810000000000002</v>
      </c>
      <c r="K23">
        <v>230.37200000000001</v>
      </c>
      <c r="L23">
        <v>8.4209999999999994</v>
      </c>
      <c r="M23">
        <v>52.686</v>
      </c>
      <c r="N23">
        <v>8.4239999999999995</v>
      </c>
      <c r="O23">
        <v>0.874</v>
      </c>
      <c r="P23">
        <v>0</v>
      </c>
      <c r="Q23">
        <v>6.94</v>
      </c>
      <c r="R23">
        <v>49.2</v>
      </c>
      <c r="S23">
        <v>27.934999999999999</v>
      </c>
    </row>
    <row r="24" spans="1:19" x14ac:dyDescent="0.3">
      <c r="A24" t="s">
        <v>138</v>
      </c>
      <c r="B24">
        <v>229.65600000000001</v>
      </c>
      <c r="C24">
        <v>74.040999999999997</v>
      </c>
      <c r="D24">
        <v>52.161999999999999</v>
      </c>
      <c r="E24">
        <v>0.441</v>
      </c>
      <c r="F24">
        <v>80.063000000000002</v>
      </c>
      <c r="G24">
        <v>6.3730000000000002</v>
      </c>
      <c r="H24">
        <v>60.31</v>
      </c>
      <c r="I24">
        <v>62.197000000000003</v>
      </c>
      <c r="J24">
        <v>5.8719999999999999</v>
      </c>
      <c r="K24">
        <v>229.977</v>
      </c>
      <c r="L24">
        <v>8.4149999999999991</v>
      </c>
      <c r="M24">
        <v>52.814</v>
      </c>
      <c r="N24">
        <v>8.4320000000000004</v>
      </c>
      <c r="O24">
        <v>0.876</v>
      </c>
      <c r="P24">
        <v>0</v>
      </c>
      <c r="Q24">
        <v>6.7619999999999996</v>
      </c>
      <c r="R24">
        <v>49.2</v>
      </c>
      <c r="S24">
        <v>27.934999999999999</v>
      </c>
    </row>
    <row r="25" spans="1:19" x14ac:dyDescent="0.3">
      <c r="A25" t="s">
        <v>139</v>
      </c>
      <c r="B25">
        <v>229.858</v>
      </c>
      <c r="C25">
        <v>74.051000000000002</v>
      </c>
      <c r="D25">
        <v>52.095999999999997</v>
      </c>
      <c r="E25">
        <v>0.41299999999999998</v>
      </c>
      <c r="F25">
        <v>80.338999999999999</v>
      </c>
      <c r="G25">
        <v>7.05</v>
      </c>
      <c r="H25">
        <v>60.162999999999997</v>
      </c>
      <c r="I25">
        <v>62.808999999999997</v>
      </c>
      <c r="J25">
        <v>5.8810000000000002</v>
      </c>
      <c r="K25">
        <v>230.322</v>
      </c>
      <c r="L25">
        <v>8.4250000000000007</v>
      </c>
      <c r="M25">
        <v>53.009</v>
      </c>
      <c r="N25">
        <v>8.4309999999999992</v>
      </c>
      <c r="O25">
        <v>0.85799999999999998</v>
      </c>
      <c r="P25">
        <v>0</v>
      </c>
      <c r="Q25">
        <v>6.8630000000000004</v>
      </c>
      <c r="R25">
        <v>49.2</v>
      </c>
      <c r="S25">
        <v>27.934999999999999</v>
      </c>
    </row>
    <row r="26" spans="1:19" x14ac:dyDescent="0.3">
      <c r="A26" t="s">
        <v>140</v>
      </c>
      <c r="B26">
        <v>229.16399999999999</v>
      </c>
      <c r="C26">
        <v>74.081000000000003</v>
      </c>
      <c r="D26">
        <v>52.109000000000002</v>
      </c>
      <c r="E26">
        <v>0.39500000000000002</v>
      </c>
      <c r="F26">
        <v>79.921999999999997</v>
      </c>
      <c r="G26">
        <v>6.5419999999999998</v>
      </c>
      <c r="H26">
        <v>60.314</v>
      </c>
      <c r="I26">
        <v>63.466000000000001</v>
      </c>
      <c r="J26">
        <v>5.8739999999999997</v>
      </c>
      <c r="K26">
        <v>230.059</v>
      </c>
      <c r="L26">
        <v>8.4239999999999995</v>
      </c>
      <c r="M26">
        <v>52.8</v>
      </c>
      <c r="N26">
        <v>8.4250000000000007</v>
      </c>
      <c r="O26">
        <v>0.85499999999999998</v>
      </c>
      <c r="P26">
        <v>0</v>
      </c>
      <c r="Q26">
        <v>6.7869999999999999</v>
      </c>
      <c r="R26">
        <v>49.2</v>
      </c>
      <c r="S26">
        <v>27.934999999999999</v>
      </c>
    </row>
    <row r="27" spans="1:19" x14ac:dyDescent="0.3">
      <c r="A27" t="s">
        <v>141</v>
      </c>
      <c r="B27">
        <v>228.90700000000001</v>
      </c>
      <c r="C27">
        <v>74.073999999999998</v>
      </c>
      <c r="D27">
        <v>52.164999999999999</v>
      </c>
      <c r="E27">
        <v>0.41099999999999998</v>
      </c>
      <c r="F27">
        <v>80.727000000000004</v>
      </c>
      <c r="G27">
        <v>6.79</v>
      </c>
      <c r="H27">
        <v>60.337000000000003</v>
      </c>
      <c r="I27">
        <v>63.863999999999997</v>
      </c>
      <c r="J27">
        <v>5.8810000000000002</v>
      </c>
      <c r="K27">
        <v>230.38800000000001</v>
      </c>
      <c r="L27">
        <v>8.4329999999999998</v>
      </c>
      <c r="M27">
        <v>52.768999999999998</v>
      </c>
      <c r="N27">
        <v>8.4290000000000003</v>
      </c>
      <c r="O27">
        <v>0.85099999999999998</v>
      </c>
      <c r="P27">
        <v>0</v>
      </c>
      <c r="Q27">
        <v>6.766</v>
      </c>
      <c r="R27">
        <v>49.2</v>
      </c>
      <c r="S27">
        <v>27.934999999999999</v>
      </c>
    </row>
    <row r="28" spans="1:19" x14ac:dyDescent="0.3">
      <c r="A28" t="s">
        <v>142</v>
      </c>
      <c r="B28">
        <v>229.827</v>
      </c>
      <c r="C28">
        <v>74.073999999999998</v>
      </c>
      <c r="D28">
        <v>52.142000000000003</v>
      </c>
      <c r="E28">
        <v>0.437</v>
      </c>
      <c r="F28">
        <v>80.254000000000005</v>
      </c>
      <c r="G28">
        <v>6.5190000000000001</v>
      </c>
      <c r="H28">
        <v>60.134999999999998</v>
      </c>
      <c r="I28">
        <v>64.191999999999993</v>
      </c>
      <c r="J28">
        <v>5.875</v>
      </c>
      <c r="K28">
        <v>230.191</v>
      </c>
      <c r="L28">
        <v>8.4269999999999996</v>
      </c>
      <c r="M28">
        <v>52.709000000000003</v>
      </c>
      <c r="N28">
        <v>8.4260000000000002</v>
      </c>
      <c r="O28">
        <v>0.871</v>
      </c>
      <c r="P28">
        <v>0</v>
      </c>
      <c r="Q28">
        <v>6.84</v>
      </c>
      <c r="R28">
        <v>49.2</v>
      </c>
      <c r="S28">
        <v>27.934999999999999</v>
      </c>
    </row>
    <row r="29" spans="1:19" x14ac:dyDescent="0.3">
      <c r="A29" t="s">
        <v>143</v>
      </c>
      <c r="B29">
        <v>229.26900000000001</v>
      </c>
      <c r="C29">
        <v>74.103999999999999</v>
      </c>
      <c r="D29">
        <v>52.093000000000004</v>
      </c>
      <c r="E29">
        <v>0.42799999999999999</v>
      </c>
      <c r="F29">
        <v>78.861000000000004</v>
      </c>
      <c r="G29">
        <v>6.6189999999999998</v>
      </c>
      <c r="H29">
        <v>60.408999999999999</v>
      </c>
      <c r="I29">
        <v>64.747</v>
      </c>
      <c r="J29">
        <v>5.8760000000000003</v>
      </c>
      <c r="K29">
        <v>230.35499999999999</v>
      </c>
      <c r="L29">
        <v>8.4309999999999992</v>
      </c>
      <c r="M29">
        <v>52.743000000000002</v>
      </c>
      <c r="N29">
        <v>8.4670000000000005</v>
      </c>
      <c r="O29">
        <v>0.89800000000000002</v>
      </c>
      <c r="P29">
        <v>0</v>
      </c>
      <c r="Q29">
        <v>6.8330000000000002</v>
      </c>
      <c r="R29">
        <v>49.2</v>
      </c>
      <c r="S29">
        <v>27.934999999999999</v>
      </c>
    </row>
    <row r="30" spans="1:19" x14ac:dyDescent="0.3">
      <c r="A30" t="s">
        <v>144</v>
      </c>
      <c r="B30">
        <v>230.14599999999999</v>
      </c>
      <c r="C30">
        <v>74.076999999999998</v>
      </c>
      <c r="D30">
        <v>52.142000000000003</v>
      </c>
      <c r="E30">
        <v>0.38700000000000001</v>
      </c>
      <c r="F30">
        <v>79.326999999999998</v>
      </c>
      <c r="G30">
        <v>7.0140000000000002</v>
      </c>
      <c r="H30">
        <v>60.128</v>
      </c>
      <c r="I30">
        <v>64.254000000000005</v>
      </c>
      <c r="J30">
        <v>5.8869999999999996</v>
      </c>
      <c r="K30">
        <v>230.191</v>
      </c>
      <c r="L30">
        <v>8.4329999999999998</v>
      </c>
      <c r="M30">
        <v>52.749000000000002</v>
      </c>
      <c r="N30">
        <v>8.4280000000000008</v>
      </c>
      <c r="O30">
        <v>0.871</v>
      </c>
      <c r="P30">
        <v>0</v>
      </c>
      <c r="Q30">
        <v>6.782</v>
      </c>
      <c r="R30">
        <v>49.2</v>
      </c>
      <c r="S30">
        <v>27.934999999999999</v>
      </c>
    </row>
    <row r="31" spans="1:19" x14ac:dyDescent="0.3">
      <c r="A31" t="s">
        <v>145</v>
      </c>
      <c r="B31">
        <v>229.68600000000001</v>
      </c>
      <c r="C31">
        <v>74.123000000000005</v>
      </c>
      <c r="D31">
        <v>52.149000000000001</v>
      </c>
      <c r="E31">
        <v>0.43</v>
      </c>
      <c r="F31">
        <v>79.451999999999998</v>
      </c>
      <c r="G31">
        <v>6.8330000000000002</v>
      </c>
      <c r="H31">
        <v>60.372</v>
      </c>
      <c r="I31">
        <v>65.548000000000002</v>
      </c>
      <c r="J31">
        <v>5.8780000000000001</v>
      </c>
      <c r="K31">
        <v>230.30600000000001</v>
      </c>
      <c r="L31">
        <v>8.4429999999999996</v>
      </c>
      <c r="M31">
        <v>52.834000000000003</v>
      </c>
      <c r="N31">
        <v>8.4329999999999998</v>
      </c>
      <c r="O31">
        <v>0.86599999999999999</v>
      </c>
      <c r="P31">
        <v>0</v>
      </c>
      <c r="Q31">
        <v>6.8449999999999998</v>
      </c>
      <c r="R31">
        <v>49.2</v>
      </c>
      <c r="S31">
        <v>27.934999999999999</v>
      </c>
    </row>
    <row r="32" spans="1:19" x14ac:dyDescent="0.3">
      <c r="A32" t="s">
        <v>146</v>
      </c>
      <c r="B32">
        <v>229.84800000000001</v>
      </c>
      <c r="C32">
        <v>74.168999999999997</v>
      </c>
      <c r="D32">
        <v>52.402000000000001</v>
      </c>
      <c r="E32">
        <v>0.41499999999999998</v>
      </c>
      <c r="F32">
        <v>80.355000000000004</v>
      </c>
      <c r="G32">
        <v>6.67</v>
      </c>
      <c r="H32">
        <v>60.417999999999999</v>
      </c>
      <c r="I32">
        <v>65.86</v>
      </c>
      <c r="J32">
        <v>5.8769999999999998</v>
      </c>
      <c r="K32">
        <v>230.142</v>
      </c>
      <c r="L32">
        <v>8.468</v>
      </c>
      <c r="M32">
        <v>52.695999999999998</v>
      </c>
      <c r="N32">
        <v>8.4280000000000008</v>
      </c>
      <c r="O32">
        <v>0.85699999999999998</v>
      </c>
      <c r="P32">
        <v>0</v>
      </c>
      <c r="Q32">
        <v>6.9009999999999998</v>
      </c>
      <c r="R32">
        <v>49.2</v>
      </c>
      <c r="S32">
        <v>27.934999999999999</v>
      </c>
    </row>
    <row r="33" spans="1:19" x14ac:dyDescent="0.3">
      <c r="A33" t="s">
        <v>147</v>
      </c>
      <c r="B33">
        <v>230.03399999999999</v>
      </c>
      <c r="C33">
        <v>74.16</v>
      </c>
      <c r="D33">
        <v>52.566000000000003</v>
      </c>
      <c r="E33">
        <v>0.44500000000000001</v>
      </c>
      <c r="F33">
        <v>79.153000000000006</v>
      </c>
      <c r="G33">
        <v>6.8559999999999999</v>
      </c>
      <c r="H33">
        <v>60.478000000000002</v>
      </c>
      <c r="I33">
        <v>66.462999999999994</v>
      </c>
      <c r="J33">
        <v>5.8789999999999996</v>
      </c>
      <c r="K33">
        <v>230.24</v>
      </c>
      <c r="L33">
        <v>8.4830000000000005</v>
      </c>
      <c r="M33">
        <v>52.82</v>
      </c>
      <c r="N33">
        <v>8.4320000000000004</v>
      </c>
      <c r="O33">
        <v>0.85899999999999999</v>
      </c>
      <c r="P33">
        <v>0</v>
      </c>
      <c r="Q33">
        <v>6.9329999999999998</v>
      </c>
      <c r="R33">
        <v>49.2</v>
      </c>
      <c r="S33">
        <v>27.934999999999999</v>
      </c>
    </row>
    <row r="34" spans="1:19" x14ac:dyDescent="0.3">
      <c r="A34" t="s">
        <v>148</v>
      </c>
      <c r="B34">
        <v>229.83099999999999</v>
      </c>
      <c r="C34">
        <v>74.162999999999997</v>
      </c>
      <c r="D34">
        <v>52.670999999999999</v>
      </c>
      <c r="E34">
        <v>0.41699999999999998</v>
      </c>
      <c r="F34">
        <v>80.507000000000005</v>
      </c>
      <c r="G34">
        <v>6.766</v>
      </c>
      <c r="H34">
        <v>60.295000000000002</v>
      </c>
      <c r="I34">
        <v>66.956000000000003</v>
      </c>
      <c r="J34">
        <v>5.8780000000000001</v>
      </c>
      <c r="K34">
        <v>230.30600000000001</v>
      </c>
      <c r="L34">
        <v>8.5050000000000008</v>
      </c>
      <c r="M34">
        <v>52.848999999999997</v>
      </c>
      <c r="N34">
        <v>8.4260000000000002</v>
      </c>
      <c r="O34">
        <v>0.86599999999999999</v>
      </c>
      <c r="P34">
        <v>0</v>
      </c>
      <c r="Q34">
        <v>6.8470000000000004</v>
      </c>
      <c r="R34">
        <v>49.2</v>
      </c>
      <c r="S34">
        <v>27.934999999999999</v>
      </c>
    </row>
    <row r="35" spans="1:19" ht="15" thickBot="1" x14ac:dyDescent="0.35">
      <c r="A35" t="s">
        <v>149</v>
      </c>
      <c r="B35">
        <v>230.214</v>
      </c>
      <c r="C35">
        <v>74.162999999999997</v>
      </c>
      <c r="D35">
        <v>52.865000000000002</v>
      </c>
      <c r="E35">
        <v>0.36499999999999999</v>
      </c>
      <c r="F35">
        <v>79.885999999999996</v>
      </c>
      <c r="G35">
        <v>6.8739999999999997</v>
      </c>
      <c r="H35">
        <v>60.317999999999998</v>
      </c>
      <c r="I35">
        <v>67.325999999999993</v>
      </c>
      <c r="J35">
        <v>5.8769999999999998</v>
      </c>
      <c r="K35">
        <v>230.22399999999999</v>
      </c>
      <c r="L35">
        <v>8.5129999999999999</v>
      </c>
      <c r="M35">
        <v>52.79</v>
      </c>
      <c r="N35">
        <v>8.4269999999999996</v>
      </c>
      <c r="O35">
        <v>0.88300000000000001</v>
      </c>
      <c r="P35">
        <v>0</v>
      </c>
      <c r="Q35">
        <v>6.83</v>
      </c>
      <c r="R35">
        <v>49.2</v>
      </c>
      <c r="S35">
        <v>27.934999999999999</v>
      </c>
    </row>
    <row r="36" spans="1:19" ht="15" thickBot="1" x14ac:dyDescent="0.35">
      <c r="A36" t="s">
        <v>30</v>
      </c>
      <c r="B36" s="1">
        <f>AVERAGE(B6:B35)</f>
        <v>229.17816666666664</v>
      </c>
      <c r="C36" s="1">
        <f>AVERAGE(C6:C35)</f>
        <v>74.078833333333321</v>
      </c>
      <c r="D36" s="1">
        <f t="shared" ref="D36:S36" si="0">AVERAGE(D6:D35)</f>
        <v>51.677433333333333</v>
      </c>
      <c r="E36" s="10">
        <f t="shared" si="0"/>
        <v>0.41946666666666665</v>
      </c>
      <c r="F36" s="1">
        <f t="shared" si="0"/>
        <v>79.893066666666684</v>
      </c>
      <c r="G36" s="1">
        <f t="shared" si="0"/>
        <v>6.540166666666666</v>
      </c>
      <c r="H36" s="10">
        <f t="shared" si="0"/>
        <v>60.17463333333334</v>
      </c>
      <c r="I36" s="1">
        <f t="shared" si="0"/>
        <v>59.843333333333327</v>
      </c>
      <c r="J36" s="8">
        <f t="shared" si="0"/>
        <v>5.8777000000000008</v>
      </c>
      <c r="K36" s="1">
        <f t="shared" si="0"/>
        <v>230.24289999999993</v>
      </c>
      <c r="L36" s="1">
        <f t="shared" si="0"/>
        <v>8.4492666666666665</v>
      </c>
      <c r="M36" s="1">
        <f t="shared" si="0"/>
        <v>52.78963333333332</v>
      </c>
      <c r="N36" s="1">
        <f t="shared" si="0"/>
        <v>8.4333666666666662</v>
      </c>
      <c r="O36" s="1">
        <f t="shared" si="0"/>
        <v>0.86909999999999987</v>
      </c>
      <c r="P36" s="1">
        <f t="shared" si="0"/>
        <v>0</v>
      </c>
      <c r="Q36" s="1">
        <f t="shared" si="0"/>
        <v>6.8314666666666675</v>
      </c>
      <c r="R36" s="1">
        <f t="shared" si="0"/>
        <v>49.153333333333357</v>
      </c>
      <c r="S36" s="1">
        <f t="shared" si="0"/>
        <v>27.934999999999981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13D-3FBF-46C6-90F7-A420043D034C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0.60048611111111116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2.5234465971449711</v>
      </c>
      <c r="M2" s="8">
        <f>100*(R36/(R36+Q36))</f>
        <v>49.939304219096961</v>
      </c>
      <c r="O2" s="9">
        <f>100*((E36*C2)/((E36*C2)+(K2*E2)))</f>
        <v>14.115457298175633</v>
      </c>
      <c r="Q2" s="10">
        <f>100*J36*(1/(((C2/3.6)*E36)+((E2/3.6)*K2)))</f>
        <v>19.371528066491791</v>
      </c>
      <c r="S2" s="6">
        <v>3.54</v>
      </c>
      <c r="U2" s="10">
        <f>100*((((G36*0.001*60)*(C36-D36)*(S2/3.6)))/(((C2/3.6)*E36)+((E2/3.6)*K2)))</f>
        <v>32.228752331799264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150</v>
      </c>
      <c r="B6">
        <v>267.58800000000002</v>
      </c>
      <c r="C6">
        <v>73.998999999999995</v>
      </c>
      <c r="D6">
        <v>43.061999999999998</v>
      </c>
      <c r="E6">
        <v>0.502</v>
      </c>
      <c r="F6">
        <v>79.421999999999997</v>
      </c>
      <c r="G6">
        <v>6.8029999999999999</v>
      </c>
      <c r="H6">
        <v>117.65300000000001</v>
      </c>
      <c r="I6">
        <v>43.220999999999997</v>
      </c>
      <c r="J6">
        <v>7.9160000000000004</v>
      </c>
      <c r="K6">
        <v>230.78200000000001</v>
      </c>
      <c r="L6">
        <v>11.366</v>
      </c>
      <c r="M6">
        <v>52.834000000000003</v>
      </c>
      <c r="N6">
        <v>11.363</v>
      </c>
      <c r="O6">
        <v>0.95599999999999996</v>
      </c>
      <c r="P6">
        <v>0</v>
      </c>
      <c r="Q6">
        <v>56.773000000000003</v>
      </c>
      <c r="R6">
        <v>55.8</v>
      </c>
      <c r="S6">
        <v>29.73</v>
      </c>
    </row>
    <row r="7" spans="1:21" x14ac:dyDescent="0.3">
      <c r="A7" t="s">
        <v>151</v>
      </c>
      <c r="B7">
        <v>267.815</v>
      </c>
      <c r="C7">
        <v>74.025000000000006</v>
      </c>
      <c r="D7">
        <v>43.18</v>
      </c>
      <c r="E7">
        <v>0.51400000000000001</v>
      </c>
      <c r="F7">
        <v>78.617999999999995</v>
      </c>
      <c r="G7">
        <v>6.9939999999999998</v>
      </c>
      <c r="H7">
        <v>117.47799999999999</v>
      </c>
      <c r="I7">
        <v>43.414000000000001</v>
      </c>
      <c r="J7">
        <v>7.9020000000000001</v>
      </c>
      <c r="K7">
        <v>230.125</v>
      </c>
      <c r="L7">
        <v>11.333</v>
      </c>
      <c r="M7">
        <v>52.545999999999999</v>
      </c>
      <c r="N7">
        <v>11.371</v>
      </c>
      <c r="O7">
        <v>0.94</v>
      </c>
      <c r="P7">
        <v>0</v>
      </c>
      <c r="Q7">
        <v>56.637</v>
      </c>
      <c r="R7">
        <v>56</v>
      </c>
      <c r="S7">
        <v>29.73</v>
      </c>
    </row>
    <row r="8" spans="1:21" x14ac:dyDescent="0.3">
      <c r="A8" t="s">
        <v>152</v>
      </c>
      <c r="B8">
        <v>268.27100000000002</v>
      </c>
      <c r="C8">
        <v>74.093999999999994</v>
      </c>
      <c r="D8">
        <v>43.2</v>
      </c>
      <c r="E8">
        <v>0.48899999999999999</v>
      </c>
      <c r="F8">
        <v>79.965000000000003</v>
      </c>
      <c r="G8">
        <v>6.7560000000000002</v>
      </c>
      <c r="H8">
        <v>117.437</v>
      </c>
      <c r="I8">
        <v>43.667999999999999</v>
      </c>
      <c r="J8">
        <v>7.9139999999999997</v>
      </c>
      <c r="K8">
        <v>230.63399999999999</v>
      </c>
      <c r="L8">
        <v>11.358000000000001</v>
      </c>
      <c r="M8">
        <v>52.664000000000001</v>
      </c>
      <c r="N8">
        <v>11.364000000000001</v>
      </c>
      <c r="O8">
        <v>0.94099999999999995</v>
      </c>
      <c r="P8">
        <v>0</v>
      </c>
      <c r="Q8">
        <v>56.52</v>
      </c>
      <c r="R8">
        <v>56</v>
      </c>
      <c r="S8">
        <v>29.73</v>
      </c>
    </row>
    <row r="9" spans="1:21" x14ac:dyDescent="0.3">
      <c r="A9" t="s">
        <v>153</v>
      </c>
      <c r="B9">
        <v>268.59500000000003</v>
      </c>
      <c r="C9">
        <v>74.123000000000005</v>
      </c>
      <c r="D9">
        <v>43.448999999999998</v>
      </c>
      <c r="E9">
        <v>0.5</v>
      </c>
      <c r="F9">
        <v>80.450999999999993</v>
      </c>
      <c r="G9">
        <v>7.1369999999999996</v>
      </c>
      <c r="H9">
        <v>117.304</v>
      </c>
      <c r="I9">
        <v>43.347999999999999</v>
      </c>
      <c r="J9">
        <v>7.9</v>
      </c>
      <c r="K9">
        <v>229.255</v>
      </c>
      <c r="L9">
        <v>11.343</v>
      </c>
      <c r="M9">
        <v>52.703000000000003</v>
      </c>
      <c r="N9">
        <v>11.362</v>
      </c>
      <c r="O9">
        <v>0.96099999999999997</v>
      </c>
      <c r="P9">
        <v>0</v>
      </c>
      <c r="Q9">
        <v>56.427999999999997</v>
      </c>
      <c r="R9">
        <v>56</v>
      </c>
      <c r="S9">
        <v>29.73</v>
      </c>
    </row>
    <row r="10" spans="1:21" x14ac:dyDescent="0.3">
      <c r="A10" t="s">
        <v>154</v>
      </c>
      <c r="B10">
        <v>268.31900000000002</v>
      </c>
      <c r="C10">
        <v>74.114000000000004</v>
      </c>
      <c r="D10">
        <v>43.662999999999997</v>
      </c>
      <c r="E10">
        <v>0.48699999999999999</v>
      </c>
      <c r="F10">
        <v>79.616</v>
      </c>
      <c r="G10">
        <v>7.2069999999999999</v>
      </c>
      <c r="H10">
        <v>117.26900000000001</v>
      </c>
      <c r="I10">
        <v>44.070999999999998</v>
      </c>
      <c r="J10">
        <v>7.9139999999999997</v>
      </c>
      <c r="K10">
        <v>230.58500000000001</v>
      </c>
      <c r="L10">
        <v>11.355</v>
      </c>
      <c r="M10">
        <v>52.765000000000001</v>
      </c>
      <c r="N10">
        <v>11.368</v>
      </c>
      <c r="O10">
        <v>0.95399999999999996</v>
      </c>
      <c r="P10">
        <v>0</v>
      </c>
      <c r="Q10">
        <v>56.369</v>
      </c>
      <c r="R10">
        <v>56.1</v>
      </c>
      <c r="S10">
        <v>29.73</v>
      </c>
    </row>
    <row r="11" spans="1:21" x14ac:dyDescent="0.3">
      <c r="A11" t="s">
        <v>155</v>
      </c>
      <c r="B11">
        <v>270.19200000000001</v>
      </c>
      <c r="C11">
        <v>74.150000000000006</v>
      </c>
      <c r="D11">
        <v>43.902999999999999</v>
      </c>
      <c r="E11">
        <v>0.51800000000000002</v>
      </c>
      <c r="F11">
        <v>80.224000000000004</v>
      </c>
      <c r="G11">
        <v>7.133</v>
      </c>
      <c r="H11">
        <v>117.649</v>
      </c>
      <c r="I11">
        <v>44.124000000000002</v>
      </c>
      <c r="J11">
        <v>7.9059999999999997</v>
      </c>
      <c r="K11">
        <v>230.24</v>
      </c>
      <c r="L11">
        <v>11.351000000000001</v>
      </c>
      <c r="M11">
        <v>52.838999999999999</v>
      </c>
      <c r="N11">
        <v>11.361000000000001</v>
      </c>
      <c r="O11">
        <v>0.95499999999999996</v>
      </c>
      <c r="P11">
        <v>0</v>
      </c>
      <c r="Q11">
        <v>56.341000000000001</v>
      </c>
      <c r="R11">
        <v>56.1</v>
      </c>
      <c r="S11">
        <v>29.73</v>
      </c>
    </row>
    <row r="12" spans="1:21" x14ac:dyDescent="0.3">
      <c r="A12" t="s">
        <v>156</v>
      </c>
      <c r="B12">
        <v>269.39499999999998</v>
      </c>
      <c r="C12">
        <v>74.123000000000005</v>
      </c>
      <c r="D12">
        <v>43.872999999999998</v>
      </c>
      <c r="E12">
        <v>0.505</v>
      </c>
      <c r="F12">
        <v>79.771000000000001</v>
      </c>
      <c r="G12">
        <v>7.3780000000000001</v>
      </c>
      <c r="H12">
        <v>117.69</v>
      </c>
      <c r="I12">
        <v>44.387</v>
      </c>
      <c r="J12">
        <v>7.9180000000000001</v>
      </c>
      <c r="K12">
        <v>230.65100000000001</v>
      </c>
      <c r="L12">
        <v>11.364000000000001</v>
      </c>
      <c r="M12">
        <v>52.713000000000001</v>
      </c>
      <c r="N12">
        <v>11.367000000000001</v>
      </c>
      <c r="O12">
        <v>0.94099999999999995</v>
      </c>
      <c r="P12">
        <v>0</v>
      </c>
      <c r="Q12">
        <v>56.304000000000002</v>
      </c>
      <c r="R12">
        <v>56.2</v>
      </c>
      <c r="S12">
        <v>29.73</v>
      </c>
    </row>
    <row r="13" spans="1:21" x14ac:dyDescent="0.3">
      <c r="A13" t="s">
        <v>157</v>
      </c>
      <c r="B13">
        <v>269.02699999999999</v>
      </c>
      <c r="C13">
        <v>74.13</v>
      </c>
      <c r="D13">
        <v>43.997999999999998</v>
      </c>
      <c r="E13">
        <v>0.46899999999999997</v>
      </c>
      <c r="F13">
        <v>79.61</v>
      </c>
      <c r="G13">
        <v>7.4649999999999999</v>
      </c>
      <c r="H13">
        <v>117.764</v>
      </c>
      <c r="I13">
        <v>44.654000000000003</v>
      </c>
      <c r="J13">
        <v>7.907</v>
      </c>
      <c r="K13">
        <v>230.30600000000001</v>
      </c>
      <c r="L13">
        <v>11.351000000000001</v>
      </c>
      <c r="M13">
        <v>52.774000000000001</v>
      </c>
      <c r="N13">
        <v>11.366</v>
      </c>
      <c r="O13">
        <v>0.95499999999999996</v>
      </c>
      <c r="P13">
        <v>0</v>
      </c>
      <c r="Q13">
        <v>56.295000000000002</v>
      </c>
      <c r="R13">
        <v>56.2</v>
      </c>
      <c r="S13">
        <v>29.73</v>
      </c>
    </row>
    <row r="14" spans="1:21" x14ac:dyDescent="0.3">
      <c r="A14" t="s">
        <v>158</v>
      </c>
      <c r="B14">
        <v>268.49799999999999</v>
      </c>
      <c r="C14">
        <v>74.132999999999996</v>
      </c>
      <c r="D14">
        <v>44.087000000000003</v>
      </c>
      <c r="E14">
        <v>0.48299999999999998</v>
      </c>
      <c r="F14">
        <v>79.031999999999996</v>
      </c>
      <c r="G14">
        <v>7.47</v>
      </c>
      <c r="H14">
        <v>117.747</v>
      </c>
      <c r="I14">
        <v>44.65</v>
      </c>
      <c r="J14">
        <v>7.9119999999999999</v>
      </c>
      <c r="K14">
        <v>230.667</v>
      </c>
      <c r="L14">
        <v>11.36</v>
      </c>
      <c r="M14">
        <v>52.587000000000003</v>
      </c>
      <c r="N14">
        <v>11.364000000000001</v>
      </c>
      <c r="O14">
        <v>0.97399999999999998</v>
      </c>
      <c r="P14">
        <v>0</v>
      </c>
      <c r="Q14">
        <v>56.271999999999998</v>
      </c>
      <c r="R14">
        <v>56.2</v>
      </c>
      <c r="S14">
        <v>29.73</v>
      </c>
    </row>
    <row r="15" spans="1:21" x14ac:dyDescent="0.3">
      <c r="A15" t="s">
        <v>159</v>
      </c>
      <c r="B15">
        <v>269.16300000000001</v>
      </c>
      <c r="C15">
        <v>74.090999999999994</v>
      </c>
      <c r="D15">
        <v>44.280999999999999</v>
      </c>
      <c r="E15">
        <v>0.47599999999999998</v>
      </c>
      <c r="F15">
        <v>79.58</v>
      </c>
      <c r="G15">
        <v>7.51</v>
      </c>
      <c r="H15">
        <v>117.86199999999999</v>
      </c>
      <c r="I15">
        <v>44.616999999999997</v>
      </c>
      <c r="J15">
        <v>7.9039999999999999</v>
      </c>
      <c r="K15">
        <v>230.37200000000001</v>
      </c>
      <c r="L15">
        <v>11.555</v>
      </c>
      <c r="M15">
        <v>52.582999999999998</v>
      </c>
      <c r="N15">
        <v>11.362</v>
      </c>
      <c r="O15">
        <v>0.95799999999999996</v>
      </c>
      <c r="P15">
        <v>0</v>
      </c>
      <c r="Q15">
        <v>56.265000000000001</v>
      </c>
      <c r="R15">
        <v>56.2</v>
      </c>
      <c r="S15">
        <v>29.73</v>
      </c>
    </row>
    <row r="16" spans="1:21" x14ac:dyDescent="0.3">
      <c r="A16" t="s">
        <v>160</v>
      </c>
      <c r="B16">
        <v>269.22199999999998</v>
      </c>
      <c r="C16">
        <v>74.165999999999997</v>
      </c>
      <c r="D16">
        <v>44.435000000000002</v>
      </c>
      <c r="E16">
        <v>0.501</v>
      </c>
      <c r="F16">
        <v>79.813000000000002</v>
      </c>
      <c r="G16">
        <v>7.9649999999999999</v>
      </c>
      <c r="H16">
        <v>117.85</v>
      </c>
      <c r="I16">
        <v>45.023000000000003</v>
      </c>
      <c r="J16">
        <v>7.9130000000000003</v>
      </c>
      <c r="K16">
        <v>230.58500000000001</v>
      </c>
      <c r="L16">
        <v>11.36</v>
      </c>
      <c r="M16">
        <v>52.619</v>
      </c>
      <c r="N16">
        <v>11.369</v>
      </c>
      <c r="O16">
        <v>0.95899999999999996</v>
      </c>
      <c r="P16">
        <v>0</v>
      </c>
      <c r="Q16">
        <v>56.29</v>
      </c>
      <c r="R16">
        <v>56.2</v>
      </c>
      <c r="S16">
        <v>29.73</v>
      </c>
    </row>
    <row r="17" spans="1:19" x14ac:dyDescent="0.3">
      <c r="A17" t="s">
        <v>161</v>
      </c>
      <c r="B17">
        <v>269.38499999999999</v>
      </c>
      <c r="C17">
        <v>74.146000000000001</v>
      </c>
      <c r="D17">
        <v>44.514000000000003</v>
      </c>
      <c r="E17">
        <v>0.45</v>
      </c>
      <c r="F17">
        <v>79.932000000000002</v>
      </c>
      <c r="G17">
        <v>7.8559999999999999</v>
      </c>
      <c r="H17">
        <v>117.81399999999999</v>
      </c>
      <c r="I17">
        <v>45.192</v>
      </c>
      <c r="J17">
        <v>7.9050000000000002</v>
      </c>
      <c r="K17">
        <v>230.339</v>
      </c>
      <c r="L17">
        <v>11.352</v>
      </c>
      <c r="M17">
        <v>52.591000000000001</v>
      </c>
      <c r="N17">
        <v>11.368</v>
      </c>
      <c r="O17">
        <v>0.95899999999999996</v>
      </c>
      <c r="P17">
        <v>0</v>
      </c>
      <c r="Q17">
        <v>56.276000000000003</v>
      </c>
      <c r="R17">
        <v>56.3</v>
      </c>
      <c r="S17">
        <v>29.73</v>
      </c>
    </row>
    <row r="18" spans="1:19" x14ac:dyDescent="0.3">
      <c r="A18" t="s">
        <v>162</v>
      </c>
      <c r="B18">
        <v>269.20600000000002</v>
      </c>
      <c r="C18">
        <v>74.153000000000006</v>
      </c>
      <c r="D18">
        <v>44.723999999999997</v>
      </c>
      <c r="E18">
        <v>0.504</v>
      </c>
      <c r="F18">
        <v>80.093000000000004</v>
      </c>
      <c r="G18">
        <v>7.968</v>
      </c>
      <c r="H18">
        <v>117.63800000000001</v>
      </c>
      <c r="I18">
        <v>45.085000000000001</v>
      </c>
      <c r="J18">
        <v>7.91</v>
      </c>
      <c r="K18">
        <v>230.50299999999999</v>
      </c>
      <c r="L18">
        <v>11.358000000000001</v>
      </c>
      <c r="M18">
        <v>52.887</v>
      </c>
      <c r="N18">
        <v>11.356999999999999</v>
      </c>
      <c r="O18">
        <v>0.94199999999999995</v>
      </c>
      <c r="P18">
        <v>0</v>
      </c>
      <c r="Q18">
        <v>56.279000000000003</v>
      </c>
      <c r="R18">
        <v>56.2</v>
      </c>
      <c r="S18">
        <v>29.73</v>
      </c>
    </row>
    <row r="19" spans="1:19" x14ac:dyDescent="0.3">
      <c r="A19" t="s">
        <v>163</v>
      </c>
      <c r="B19">
        <v>270.48500000000001</v>
      </c>
      <c r="C19">
        <v>74.137</v>
      </c>
      <c r="D19">
        <v>44.805999999999997</v>
      </c>
      <c r="E19">
        <v>0.5</v>
      </c>
      <c r="F19">
        <v>80.147999999999996</v>
      </c>
      <c r="G19">
        <v>8.0909999999999993</v>
      </c>
      <c r="H19">
        <v>117.979</v>
      </c>
      <c r="I19">
        <v>45.212000000000003</v>
      </c>
      <c r="J19">
        <v>7.9059999999999997</v>
      </c>
      <c r="K19">
        <v>230.45400000000001</v>
      </c>
      <c r="L19">
        <v>11.345000000000001</v>
      </c>
      <c r="M19">
        <v>52.582999999999998</v>
      </c>
      <c r="N19">
        <v>11.363</v>
      </c>
      <c r="O19">
        <v>0.95599999999999996</v>
      </c>
      <c r="P19">
        <v>0</v>
      </c>
      <c r="Q19">
        <v>56.280999999999999</v>
      </c>
      <c r="R19">
        <v>56.3</v>
      </c>
      <c r="S19">
        <v>29.73</v>
      </c>
    </row>
    <row r="20" spans="1:19" x14ac:dyDescent="0.3">
      <c r="A20" t="s">
        <v>164</v>
      </c>
      <c r="B20">
        <v>269.52300000000002</v>
      </c>
      <c r="C20">
        <v>74.103999999999999</v>
      </c>
      <c r="D20">
        <v>44.901000000000003</v>
      </c>
      <c r="E20">
        <v>0.47099999999999997</v>
      </c>
      <c r="F20">
        <v>79.293999999999997</v>
      </c>
      <c r="G20">
        <v>7.7969999999999997</v>
      </c>
      <c r="H20">
        <v>118.018</v>
      </c>
      <c r="I20">
        <v>45.393000000000001</v>
      </c>
      <c r="J20">
        <v>7.9119999999999999</v>
      </c>
      <c r="K20">
        <v>230.50299999999999</v>
      </c>
      <c r="L20">
        <v>11.340999999999999</v>
      </c>
      <c r="M20">
        <v>52.781999999999996</v>
      </c>
      <c r="N20">
        <v>11.362</v>
      </c>
      <c r="O20">
        <v>0.96099999999999997</v>
      </c>
      <c r="P20">
        <v>0</v>
      </c>
      <c r="Q20">
        <v>56.286000000000001</v>
      </c>
      <c r="R20">
        <v>56.3</v>
      </c>
      <c r="S20">
        <v>29.73</v>
      </c>
    </row>
    <row r="21" spans="1:19" x14ac:dyDescent="0.3">
      <c r="A21" t="s">
        <v>165</v>
      </c>
      <c r="B21">
        <v>270.26799999999997</v>
      </c>
      <c r="C21">
        <v>74.137</v>
      </c>
      <c r="D21">
        <v>44.99</v>
      </c>
      <c r="E21">
        <v>0.47</v>
      </c>
      <c r="F21">
        <v>80.129000000000005</v>
      </c>
      <c r="G21">
        <v>7.7309999999999999</v>
      </c>
      <c r="H21">
        <v>117.922</v>
      </c>
      <c r="I21">
        <v>45.503999999999998</v>
      </c>
      <c r="J21">
        <v>7.9080000000000004</v>
      </c>
      <c r="K21">
        <v>230.35499999999999</v>
      </c>
      <c r="L21">
        <v>11.335000000000001</v>
      </c>
      <c r="M21">
        <v>52.683999999999997</v>
      </c>
      <c r="N21">
        <v>11.366</v>
      </c>
      <c r="O21">
        <v>0.96399999999999997</v>
      </c>
      <c r="P21">
        <v>0</v>
      </c>
      <c r="Q21">
        <v>56.305</v>
      </c>
      <c r="R21">
        <v>56.3</v>
      </c>
      <c r="S21">
        <v>29.73</v>
      </c>
    </row>
    <row r="22" spans="1:19" x14ac:dyDescent="0.3">
      <c r="A22" t="s">
        <v>166</v>
      </c>
      <c r="B22">
        <v>270.05900000000003</v>
      </c>
      <c r="C22">
        <v>74.093999999999994</v>
      </c>
      <c r="D22">
        <v>45.137999999999998</v>
      </c>
      <c r="E22">
        <v>0.51100000000000001</v>
      </c>
      <c r="F22">
        <v>79.477999999999994</v>
      </c>
      <c r="G22">
        <v>7.5570000000000004</v>
      </c>
      <c r="H22">
        <v>117.905</v>
      </c>
      <c r="I22">
        <v>45.478999999999999</v>
      </c>
      <c r="J22">
        <v>7.9169999999999998</v>
      </c>
      <c r="K22">
        <v>230.601</v>
      </c>
      <c r="L22">
        <v>11.587</v>
      </c>
      <c r="M22">
        <v>52.734999999999999</v>
      </c>
      <c r="N22">
        <v>11.371</v>
      </c>
      <c r="O22">
        <v>0.96899999999999997</v>
      </c>
      <c r="P22">
        <v>0</v>
      </c>
      <c r="Q22">
        <v>56.301000000000002</v>
      </c>
      <c r="R22">
        <v>56.2</v>
      </c>
      <c r="S22">
        <v>29.73</v>
      </c>
    </row>
    <row r="23" spans="1:19" x14ac:dyDescent="0.3">
      <c r="A23" t="s">
        <v>167</v>
      </c>
      <c r="B23">
        <v>270.24099999999999</v>
      </c>
      <c r="C23">
        <v>74.11</v>
      </c>
      <c r="D23">
        <v>45.273000000000003</v>
      </c>
      <c r="E23">
        <v>0.497</v>
      </c>
      <c r="F23">
        <v>80.382000000000005</v>
      </c>
      <c r="G23">
        <v>8.2360000000000007</v>
      </c>
      <c r="H23">
        <v>118.07599999999999</v>
      </c>
      <c r="I23">
        <v>45.676000000000002</v>
      </c>
      <c r="J23">
        <v>7.9029999999999996</v>
      </c>
      <c r="K23">
        <v>230.38800000000001</v>
      </c>
      <c r="L23">
        <v>11.555</v>
      </c>
      <c r="M23">
        <v>52.658000000000001</v>
      </c>
      <c r="N23">
        <v>11.359</v>
      </c>
      <c r="O23">
        <v>0.96899999999999997</v>
      </c>
      <c r="P23">
        <v>0</v>
      </c>
      <c r="Q23">
        <v>56.286000000000001</v>
      </c>
      <c r="R23">
        <v>56.3</v>
      </c>
      <c r="S23">
        <v>29.73</v>
      </c>
    </row>
    <row r="24" spans="1:19" x14ac:dyDescent="0.3">
      <c r="A24" t="s">
        <v>168</v>
      </c>
      <c r="B24">
        <v>270.815</v>
      </c>
      <c r="C24">
        <v>74.070999999999998</v>
      </c>
      <c r="D24">
        <v>45.45</v>
      </c>
      <c r="E24">
        <v>0.45800000000000002</v>
      </c>
      <c r="F24">
        <v>80.319000000000003</v>
      </c>
      <c r="G24">
        <v>8.0570000000000004</v>
      </c>
      <c r="H24">
        <v>117.997</v>
      </c>
      <c r="I24">
        <v>46.042000000000002</v>
      </c>
      <c r="J24">
        <v>7.9109999999999996</v>
      </c>
      <c r="K24">
        <v>230.42099999999999</v>
      </c>
      <c r="L24">
        <v>11.37</v>
      </c>
      <c r="M24">
        <v>52.582999999999998</v>
      </c>
      <c r="N24">
        <v>11.367000000000001</v>
      </c>
      <c r="O24">
        <v>0.95399999999999996</v>
      </c>
      <c r="P24">
        <v>0</v>
      </c>
      <c r="Q24">
        <v>56.305999999999997</v>
      </c>
      <c r="R24">
        <v>56.3</v>
      </c>
      <c r="S24">
        <v>29.73</v>
      </c>
    </row>
    <row r="25" spans="1:19" x14ac:dyDescent="0.3">
      <c r="A25" t="s">
        <v>169</v>
      </c>
      <c r="B25">
        <v>270.42</v>
      </c>
      <c r="C25">
        <v>73.978999999999999</v>
      </c>
      <c r="D25">
        <v>45.548999999999999</v>
      </c>
      <c r="E25">
        <v>0.49199999999999999</v>
      </c>
      <c r="F25">
        <v>79.632999999999996</v>
      </c>
      <c r="G25">
        <v>7.9729999999999999</v>
      </c>
      <c r="H25">
        <v>118.111</v>
      </c>
      <c r="I25">
        <v>46.268000000000001</v>
      </c>
      <c r="J25">
        <v>7.91</v>
      </c>
      <c r="K25">
        <v>230.50299999999999</v>
      </c>
      <c r="L25">
        <v>11.385999999999999</v>
      </c>
      <c r="M25">
        <v>52.664000000000001</v>
      </c>
      <c r="N25">
        <v>11.366</v>
      </c>
      <c r="O25">
        <v>0.97499999999999998</v>
      </c>
      <c r="P25">
        <v>0</v>
      </c>
      <c r="Q25">
        <v>56.322000000000003</v>
      </c>
      <c r="R25">
        <v>56.3</v>
      </c>
      <c r="S25">
        <v>29.73</v>
      </c>
    </row>
    <row r="26" spans="1:19" x14ac:dyDescent="0.3">
      <c r="A26" t="s">
        <v>170</v>
      </c>
      <c r="B26">
        <v>270.74099999999999</v>
      </c>
      <c r="C26">
        <v>74.099999999999994</v>
      </c>
      <c r="D26">
        <v>45.68</v>
      </c>
      <c r="E26">
        <v>0.47799999999999998</v>
      </c>
      <c r="F26">
        <v>79.902000000000001</v>
      </c>
      <c r="G26">
        <v>7.9370000000000003</v>
      </c>
      <c r="H26">
        <v>118.084</v>
      </c>
      <c r="I26">
        <v>46.201999999999998</v>
      </c>
      <c r="J26">
        <v>7.9119999999999999</v>
      </c>
      <c r="K26">
        <v>230.58500000000001</v>
      </c>
      <c r="L26">
        <v>11.535</v>
      </c>
      <c r="M26">
        <v>52.582999999999998</v>
      </c>
      <c r="N26">
        <v>11.364000000000001</v>
      </c>
      <c r="O26">
        <v>0.95799999999999996</v>
      </c>
      <c r="P26">
        <v>0</v>
      </c>
      <c r="Q26">
        <v>56.326999999999998</v>
      </c>
      <c r="R26">
        <v>56.4</v>
      </c>
      <c r="S26">
        <v>29.73</v>
      </c>
    </row>
    <row r="27" spans="1:19" x14ac:dyDescent="0.3">
      <c r="A27" t="s">
        <v>171</v>
      </c>
      <c r="B27">
        <v>270.851</v>
      </c>
      <c r="C27">
        <v>74.090999999999994</v>
      </c>
      <c r="D27">
        <v>45.856999999999999</v>
      </c>
      <c r="E27">
        <v>0.48299999999999998</v>
      </c>
      <c r="F27">
        <v>80.168000000000006</v>
      </c>
      <c r="G27">
        <v>7.97</v>
      </c>
      <c r="H27">
        <v>118.13500000000001</v>
      </c>
      <c r="I27">
        <v>46.773000000000003</v>
      </c>
      <c r="J27">
        <v>7.9080000000000004</v>
      </c>
      <c r="K27">
        <v>230.42099999999999</v>
      </c>
      <c r="L27">
        <v>11.347</v>
      </c>
      <c r="M27">
        <v>52.692</v>
      </c>
      <c r="N27">
        <v>11.36</v>
      </c>
      <c r="O27">
        <v>0.94299999999999995</v>
      </c>
      <c r="P27">
        <v>0</v>
      </c>
      <c r="Q27">
        <v>56.335999999999999</v>
      </c>
      <c r="R27">
        <v>56.2</v>
      </c>
      <c r="S27">
        <v>29.73</v>
      </c>
    </row>
    <row r="28" spans="1:19" x14ac:dyDescent="0.3">
      <c r="A28" t="s">
        <v>172</v>
      </c>
      <c r="B28">
        <v>271.37299999999999</v>
      </c>
      <c r="C28">
        <v>74.034999999999997</v>
      </c>
      <c r="D28">
        <v>45.953000000000003</v>
      </c>
      <c r="E28">
        <v>0.48599999999999999</v>
      </c>
      <c r="F28">
        <v>79.879000000000005</v>
      </c>
      <c r="G28">
        <v>7.5919999999999996</v>
      </c>
      <c r="H28">
        <v>118.09699999999999</v>
      </c>
      <c r="I28">
        <v>46.878999999999998</v>
      </c>
      <c r="J28">
        <v>7.9050000000000002</v>
      </c>
      <c r="K28">
        <v>230.24</v>
      </c>
      <c r="L28">
        <v>11.282</v>
      </c>
      <c r="M28">
        <v>52.765000000000001</v>
      </c>
      <c r="N28">
        <v>11.367000000000001</v>
      </c>
      <c r="O28">
        <v>0.96099999999999997</v>
      </c>
      <c r="P28">
        <v>0</v>
      </c>
      <c r="Q28">
        <v>56.363999999999997</v>
      </c>
      <c r="R28">
        <v>56.3</v>
      </c>
      <c r="S28">
        <v>29.73</v>
      </c>
    </row>
    <row r="29" spans="1:19" x14ac:dyDescent="0.3">
      <c r="A29" t="s">
        <v>173</v>
      </c>
      <c r="B29">
        <v>271.334</v>
      </c>
      <c r="C29">
        <v>74.076999999999998</v>
      </c>
      <c r="D29">
        <v>46.127000000000002</v>
      </c>
      <c r="E29">
        <v>0.47</v>
      </c>
      <c r="F29">
        <v>79.484999999999999</v>
      </c>
      <c r="G29">
        <v>7.9379999999999997</v>
      </c>
      <c r="H29">
        <v>118.24</v>
      </c>
      <c r="I29">
        <v>46.957000000000001</v>
      </c>
      <c r="J29">
        <v>7.9130000000000003</v>
      </c>
      <c r="K29">
        <v>230.63399999999999</v>
      </c>
      <c r="L29">
        <v>11.363</v>
      </c>
      <c r="M29">
        <v>52.732999999999997</v>
      </c>
      <c r="N29">
        <v>11.364000000000001</v>
      </c>
      <c r="O29">
        <v>0.96399999999999997</v>
      </c>
      <c r="P29">
        <v>0</v>
      </c>
      <c r="Q29">
        <v>56.353000000000002</v>
      </c>
      <c r="R29">
        <v>56.3</v>
      </c>
      <c r="S29">
        <v>29.73</v>
      </c>
    </row>
    <row r="30" spans="1:19" x14ac:dyDescent="0.3">
      <c r="A30" t="s">
        <v>174</v>
      </c>
      <c r="B30">
        <v>271.10899999999998</v>
      </c>
      <c r="C30">
        <v>73.995000000000005</v>
      </c>
      <c r="D30">
        <v>46.14</v>
      </c>
      <c r="E30">
        <v>0.46200000000000002</v>
      </c>
      <c r="F30">
        <v>79.471999999999994</v>
      </c>
      <c r="G30">
        <v>7.4539999999999997</v>
      </c>
      <c r="H30">
        <v>118.11499999999999</v>
      </c>
      <c r="I30">
        <v>46.933</v>
      </c>
      <c r="J30">
        <v>7.9059999999999997</v>
      </c>
      <c r="K30">
        <v>230.25700000000001</v>
      </c>
      <c r="L30">
        <v>11.445</v>
      </c>
      <c r="M30">
        <v>52.765000000000001</v>
      </c>
      <c r="N30">
        <v>11.361000000000001</v>
      </c>
      <c r="O30">
        <v>0.97399999999999998</v>
      </c>
      <c r="P30">
        <v>0</v>
      </c>
      <c r="Q30">
        <v>56.371000000000002</v>
      </c>
      <c r="R30">
        <v>56.4</v>
      </c>
      <c r="S30">
        <v>29.73</v>
      </c>
    </row>
    <row r="31" spans="1:19" x14ac:dyDescent="0.3">
      <c r="A31" t="s">
        <v>175</v>
      </c>
      <c r="B31">
        <v>271.90800000000002</v>
      </c>
      <c r="C31">
        <v>73.968999999999994</v>
      </c>
      <c r="D31">
        <v>46.244999999999997</v>
      </c>
      <c r="E31">
        <v>0.48899999999999999</v>
      </c>
      <c r="F31">
        <v>79.103999999999999</v>
      </c>
      <c r="G31">
        <v>7.4059999999999997</v>
      </c>
      <c r="H31">
        <v>118.25</v>
      </c>
      <c r="I31">
        <v>47.015000000000001</v>
      </c>
      <c r="J31">
        <v>7.9169999999999998</v>
      </c>
      <c r="K31">
        <v>230.78200000000001</v>
      </c>
      <c r="L31">
        <v>11.468</v>
      </c>
      <c r="M31">
        <v>52.79</v>
      </c>
      <c r="N31">
        <v>11.37</v>
      </c>
      <c r="O31">
        <v>0.96199999999999997</v>
      </c>
      <c r="P31">
        <v>0</v>
      </c>
      <c r="Q31">
        <v>56.344999999999999</v>
      </c>
      <c r="R31">
        <v>56.3</v>
      </c>
      <c r="S31">
        <v>29.73</v>
      </c>
    </row>
    <row r="32" spans="1:19" x14ac:dyDescent="0.3">
      <c r="A32" t="s">
        <v>176</v>
      </c>
      <c r="B32">
        <v>271.93599999999998</v>
      </c>
      <c r="C32">
        <v>74.096999999999994</v>
      </c>
      <c r="D32">
        <v>46.402999999999999</v>
      </c>
      <c r="E32">
        <v>0.45400000000000001</v>
      </c>
      <c r="F32">
        <v>78.89</v>
      </c>
      <c r="G32">
        <v>8.0350000000000001</v>
      </c>
      <c r="H32">
        <v>118.111</v>
      </c>
      <c r="I32">
        <v>47.048000000000002</v>
      </c>
      <c r="J32">
        <v>7.9089999999999998</v>
      </c>
      <c r="K32">
        <v>230.47</v>
      </c>
      <c r="L32">
        <v>11.458</v>
      </c>
      <c r="M32">
        <v>52.95</v>
      </c>
      <c r="N32">
        <v>11.367000000000001</v>
      </c>
      <c r="O32">
        <v>0.96399999999999997</v>
      </c>
      <c r="P32">
        <v>0</v>
      </c>
      <c r="Q32">
        <v>56.378</v>
      </c>
      <c r="R32">
        <v>56.3</v>
      </c>
      <c r="S32">
        <v>29.73</v>
      </c>
    </row>
    <row r="33" spans="1:19" x14ac:dyDescent="0.3">
      <c r="A33" t="s">
        <v>177</v>
      </c>
      <c r="B33">
        <v>272.11399999999998</v>
      </c>
      <c r="C33">
        <v>74.096999999999994</v>
      </c>
      <c r="D33">
        <v>46.524000000000001</v>
      </c>
      <c r="E33">
        <v>0.432</v>
      </c>
      <c r="F33">
        <v>80.037000000000006</v>
      </c>
      <c r="G33">
        <v>8.0169999999999995</v>
      </c>
      <c r="H33">
        <v>118.345</v>
      </c>
      <c r="I33">
        <v>47.155000000000001</v>
      </c>
      <c r="J33">
        <v>7.9189999999999996</v>
      </c>
      <c r="K33">
        <v>230.91399999999999</v>
      </c>
      <c r="L33">
        <v>11.468999999999999</v>
      </c>
      <c r="M33">
        <v>52.793999999999997</v>
      </c>
      <c r="N33">
        <v>11.345000000000001</v>
      </c>
      <c r="O33">
        <v>0.95699999999999996</v>
      </c>
      <c r="P33">
        <v>0</v>
      </c>
      <c r="Q33">
        <v>56.396000000000001</v>
      </c>
      <c r="R33">
        <v>56.3</v>
      </c>
      <c r="S33">
        <v>29.73</v>
      </c>
    </row>
    <row r="34" spans="1:19" x14ac:dyDescent="0.3">
      <c r="A34" t="s">
        <v>178</v>
      </c>
      <c r="B34">
        <v>272.01400000000001</v>
      </c>
      <c r="C34">
        <v>74.106999999999999</v>
      </c>
      <c r="D34">
        <v>46.451999999999998</v>
      </c>
      <c r="E34">
        <v>0.51500000000000001</v>
      </c>
      <c r="F34">
        <v>79.832999999999998</v>
      </c>
      <c r="G34">
        <v>7.9169999999999998</v>
      </c>
      <c r="H34">
        <v>118.178</v>
      </c>
      <c r="I34">
        <v>47.335000000000001</v>
      </c>
      <c r="J34">
        <v>7.9059999999999997</v>
      </c>
      <c r="K34">
        <v>230.43700000000001</v>
      </c>
      <c r="L34">
        <v>11.45</v>
      </c>
      <c r="M34">
        <v>52.786000000000001</v>
      </c>
      <c r="N34">
        <v>11.366</v>
      </c>
      <c r="O34">
        <v>0.94699999999999995</v>
      </c>
      <c r="P34">
        <v>0</v>
      </c>
      <c r="Q34">
        <v>56.399000000000001</v>
      </c>
      <c r="R34">
        <v>56.4</v>
      </c>
      <c r="S34">
        <v>29.73</v>
      </c>
    </row>
    <row r="35" spans="1:19" ht="15" thickBot="1" x14ac:dyDescent="0.35">
      <c r="A35" t="s">
        <v>179</v>
      </c>
      <c r="B35">
        <v>272.26499999999999</v>
      </c>
      <c r="C35">
        <v>74.103999999999999</v>
      </c>
      <c r="D35">
        <v>46.484999999999999</v>
      </c>
      <c r="E35">
        <v>0.51200000000000001</v>
      </c>
      <c r="F35">
        <v>79.997</v>
      </c>
      <c r="G35">
        <v>8.2260000000000009</v>
      </c>
      <c r="H35">
        <v>118.401</v>
      </c>
      <c r="I35">
        <v>47.643000000000001</v>
      </c>
      <c r="J35">
        <v>7.9139999999999997</v>
      </c>
      <c r="K35">
        <v>230.7</v>
      </c>
      <c r="L35">
        <v>11.47</v>
      </c>
      <c r="M35">
        <v>52.78</v>
      </c>
      <c r="N35">
        <v>11.363</v>
      </c>
      <c r="O35">
        <v>0.96299999999999997</v>
      </c>
      <c r="P35">
        <v>0</v>
      </c>
      <c r="Q35">
        <v>56.395000000000003</v>
      </c>
      <c r="R35">
        <v>56.3</v>
      </c>
      <c r="S35">
        <v>29.73</v>
      </c>
    </row>
    <row r="36" spans="1:19" ht="15" thickBot="1" x14ac:dyDescent="0.35">
      <c r="A36" t="s">
        <v>30</v>
      </c>
      <c r="B36" s="1">
        <f>AVERAGE(B6:B35)</f>
        <v>270.07106666666664</v>
      </c>
      <c r="C36" s="1">
        <f>AVERAGE(C6:C35)</f>
        <v>74.091699999999989</v>
      </c>
      <c r="D36" s="1">
        <f t="shared" ref="D36:S36" si="0">AVERAGE(D6:D35)</f>
        <v>44.944733333333339</v>
      </c>
      <c r="E36" s="10">
        <f t="shared" si="0"/>
        <v>0.48593333333333349</v>
      </c>
      <c r="F36" s="1">
        <f t="shared" si="0"/>
        <v>79.742566666666647</v>
      </c>
      <c r="G36" s="1">
        <f t="shared" si="0"/>
        <v>7.6525333333333343</v>
      </c>
      <c r="H36" s="10">
        <f t="shared" si="0"/>
        <v>117.90396666666662</v>
      </c>
      <c r="I36" s="1">
        <f t="shared" si="0"/>
        <v>45.498933333333348</v>
      </c>
      <c r="J36" s="8">
        <f t="shared" si="0"/>
        <v>7.9098999999999995</v>
      </c>
      <c r="K36" s="1">
        <f t="shared" si="0"/>
        <v>230.45696666666669</v>
      </c>
      <c r="L36" s="1">
        <f t="shared" si="0"/>
        <v>11.400400000000001</v>
      </c>
      <c r="M36" s="1">
        <f t="shared" si="0"/>
        <v>52.714400000000019</v>
      </c>
      <c r="N36" s="1">
        <f t="shared" si="0"/>
        <v>11.364100000000002</v>
      </c>
      <c r="O36" s="1">
        <f t="shared" si="0"/>
        <v>0.95786666666666664</v>
      </c>
      <c r="P36" s="1">
        <f t="shared" si="0"/>
        <v>0</v>
      </c>
      <c r="Q36" s="1">
        <f t="shared" si="0"/>
        <v>56.360000000000007</v>
      </c>
      <c r="R36" s="1">
        <f t="shared" si="0"/>
        <v>56.223333333333336</v>
      </c>
      <c r="S36" s="1">
        <f t="shared" si="0"/>
        <v>29.730000000000011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246E-7493-4A86-9E10-7C2422F9EE89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0.6013425925925926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2.7340609411520931</v>
      </c>
      <c r="M2" s="8">
        <f>100*(R36/(R36+Q36))</f>
        <v>49.872537277352279</v>
      </c>
      <c r="O2" s="9">
        <f>100*((E36*C2)/((E36*C2)+(K2*E2)))</f>
        <v>15.118497604138694</v>
      </c>
      <c r="Q2" s="10">
        <f>100*J36*(1/(((C2/3.6)*E36)+((E2/3.6)*K2)))</f>
        <v>22.410120193464543</v>
      </c>
      <c r="S2" s="6">
        <v>3.54</v>
      </c>
      <c r="U2" s="10">
        <f>100*((((G36*0.001*60)*(C36-D36)*(S2/3.6)))/(((C2/3.6)*E36)+((E2/3.6)*K2)))</f>
        <v>37.635457715190334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180</v>
      </c>
      <c r="B6">
        <v>313.52999999999997</v>
      </c>
      <c r="C6">
        <v>75.040000000000006</v>
      </c>
      <c r="D6">
        <v>51.331000000000003</v>
      </c>
      <c r="E6">
        <v>0.55900000000000005</v>
      </c>
      <c r="F6">
        <v>81.662999999999997</v>
      </c>
      <c r="G6">
        <v>11.297000000000001</v>
      </c>
      <c r="H6">
        <v>127.64700000000001</v>
      </c>
      <c r="I6">
        <v>50.645000000000003</v>
      </c>
      <c r="J6">
        <v>10.044</v>
      </c>
      <c r="K6">
        <v>230.322</v>
      </c>
      <c r="L6">
        <v>14.593</v>
      </c>
      <c r="M6">
        <v>52.654000000000003</v>
      </c>
      <c r="N6">
        <v>14.366</v>
      </c>
      <c r="O6">
        <v>0.97099999999999997</v>
      </c>
      <c r="P6">
        <v>0</v>
      </c>
      <c r="Q6">
        <v>60.792000000000002</v>
      </c>
      <c r="R6">
        <v>60.5</v>
      </c>
      <c r="S6">
        <v>34.729999999999997</v>
      </c>
    </row>
    <row r="7" spans="1:21" x14ac:dyDescent="0.3">
      <c r="A7" t="s">
        <v>181</v>
      </c>
      <c r="B7">
        <v>314.48899999999998</v>
      </c>
      <c r="C7">
        <v>75.174999999999997</v>
      </c>
      <c r="D7">
        <v>51.347000000000001</v>
      </c>
      <c r="E7">
        <v>0.57699999999999996</v>
      </c>
      <c r="F7">
        <v>80.867999999999995</v>
      </c>
      <c r="G7">
        <v>10.831</v>
      </c>
      <c r="H7">
        <v>127.843</v>
      </c>
      <c r="I7">
        <v>51.088999999999999</v>
      </c>
      <c r="J7">
        <v>10.021000000000001</v>
      </c>
      <c r="K7">
        <v>230.01</v>
      </c>
      <c r="L7">
        <v>14.576000000000001</v>
      </c>
      <c r="M7">
        <v>52.430999999999997</v>
      </c>
      <c r="N7">
        <v>14.359</v>
      </c>
      <c r="O7">
        <v>0.97099999999999997</v>
      </c>
      <c r="P7">
        <v>0</v>
      </c>
      <c r="Q7">
        <v>60.796999999999997</v>
      </c>
      <c r="R7">
        <v>60.5</v>
      </c>
      <c r="S7">
        <v>34.729999999999997</v>
      </c>
    </row>
    <row r="8" spans="1:21" x14ac:dyDescent="0.3">
      <c r="A8" t="s">
        <v>182</v>
      </c>
      <c r="B8">
        <v>313.70499999999998</v>
      </c>
      <c r="C8">
        <v>75.040000000000006</v>
      </c>
      <c r="D8">
        <v>51.314</v>
      </c>
      <c r="E8">
        <v>0.57299999999999995</v>
      </c>
      <c r="F8">
        <v>80.046999999999997</v>
      </c>
      <c r="G8">
        <v>10.994999999999999</v>
      </c>
      <c r="H8">
        <v>127.645</v>
      </c>
      <c r="I8">
        <v>50.834000000000003</v>
      </c>
      <c r="J8">
        <v>10.051</v>
      </c>
      <c r="K8">
        <v>230.30600000000001</v>
      </c>
      <c r="L8">
        <v>14.601000000000001</v>
      </c>
      <c r="M8">
        <v>52.67</v>
      </c>
      <c r="N8">
        <v>14.38</v>
      </c>
      <c r="O8">
        <v>0.98099999999999998</v>
      </c>
      <c r="P8">
        <v>0</v>
      </c>
      <c r="Q8">
        <v>60.813000000000002</v>
      </c>
      <c r="R8">
        <v>60.5</v>
      </c>
      <c r="S8">
        <v>34.729999999999997</v>
      </c>
    </row>
    <row r="9" spans="1:21" x14ac:dyDescent="0.3">
      <c r="A9" t="s">
        <v>183</v>
      </c>
      <c r="B9">
        <v>314.709</v>
      </c>
      <c r="C9">
        <v>75.132000000000005</v>
      </c>
      <c r="D9">
        <v>51.448999999999998</v>
      </c>
      <c r="E9">
        <v>0.58399999999999996</v>
      </c>
      <c r="F9">
        <v>80.683999999999997</v>
      </c>
      <c r="G9">
        <v>11.151</v>
      </c>
      <c r="H9">
        <v>127.827</v>
      </c>
      <c r="I9">
        <v>50.859000000000002</v>
      </c>
      <c r="J9">
        <v>10.036</v>
      </c>
      <c r="K9">
        <v>229.96100000000001</v>
      </c>
      <c r="L9">
        <v>14.571999999999999</v>
      </c>
      <c r="M9">
        <v>52.627000000000002</v>
      </c>
      <c r="N9">
        <v>14.367000000000001</v>
      </c>
      <c r="O9">
        <v>0.98699999999999999</v>
      </c>
      <c r="P9">
        <v>0</v>
      </c>
      <c r="Q9">
        <v>60.820999999999998</v>
      </c>
      <c r="R9">
        <v>60.5</v>
      </c>
      <c r="S9">
        <v>34.729999999999997</v>
      </c>
    </row>
    <row r="10" spans="1:21" x14ac:dyDescent="0.3">
      <c r="A10" t="s">
        <v>184</v>
      </c>
      <c r="B10">
        <v>314.858</v>
      </c>
      <c r="C10">
        <v>75.155000000000001</v>
      </c>
      <c r="D10">
        <v>51.484999999999999</v>
      </c>
      <c r="E10">
        <v>0.57599999999999996</v>
      </c>
      <c r="F10">
        <v>80.177999999999997</v>
      </c>
      <c r="G10">
        <v>11.467000000000001</v>
      </c>
      <c r="H10">
        <v>127.827</v>
      </c>
      <c r="I10">
        <v>51.331000000000003</v>
      </c>
      <c r="J10">
        <v>10.055</v>
      </c>
      <c r="K10">
        <v>230.339</v>
      </c>
      <c r="L10">
        <v>14.602</v>
      </c>
      <c r="M10">
        <v>52.713000000000001</v>
      </c>
      <c r="N10">
        <v>14.37</v>
      </c>
      <c r="O10">
        <v>1.01</v>
      </c>
      <c r="P10">
        <v>0</v>
      </c>
      <c r="Q10">
        <v>60.837000000000003</v>
      </c>
      <c r="R10">
        <v>60.5</v>
      </c>
      <c r="S10">
        <v>34.729999999999997</v>
      </c>
    </row>
    <row r="11" spans="1:21" x14ac:dyDescent="0.3">
      <c r="A11" t="s">
        <v>185</v>
      </c>
      <c r="B11">
        <v>314.45</v>
      </c>
      <c r="C11">
        <v>75.213999999999999</v>
      </c>
      <c r="D11">
        <v>51.451999999999998</v>
      </c>
      <c r="E11">
        <v>0.56000000000000005</v>
      </c>
      <c r="F11">
        <v>80.733000000000004</v>
      </c>
      <c r="G11">
        <v>11.491</v>
      </c>
      <c r="H11">
        <v>127.758</v>
      </c>
      <c r="I11">
        <v>51.023000000000003</v>
      </c>
      <c r="J11">
        <v>10.041</v>
      </c>
      <c r="K11">
        <v>230.10900000000001</v>
      </c>
      <c r="L11">
        <v>14.584</v>
      </c>
      <c r="M11">
        <v>52.648000000000003</v>
      </c>
      <c r="N11">
        <v>14.369</v>
      </c>
      <c r="O11">
        <v>0.96899999999999997</v>
      </c>
      <c r="P11">
        <v>0</v>
      </c>
      <c r="Q11">
        <v>60.838000000000001</v>
      </c>
      <c r="R11">
        <v>60.5</v>
      </c>
      <c r="S11">
        <v>34.729999999999997</v>
      </c>
    </row>
    <row r="12" spans="1:21" x14ac:dyDescent="0.3">
      <c r="A12" t="s">
        <v>186</v>
      </c>
      <c r="B12">
        <v>314.74599999999998</v>
      </c>
      <c r="C12">
        <v>75.272999999999996</v>
      </c>
      <c r="D12">
        <v>51.6</v>
      </c>
      <c r="E12">
        <v>0.60399999999999998</v>
      </c>
      <c r="F12">
        <v>80.233999999999995</v>
      </c>
      <c r="G12">
        <v>11.743</v>
      </c>
      <c r="H12">
        <v>127.929</v>
      </c>
      <c r="I12">
        <v>50.960999999999999</v>
      </c>
      <c r="J12">
        <v>10.051</v>
      </c>
      <c r="K12">
        <v>230.339</v>
      </c>
      <c r="L12">
        <v>14.6</v>
      </c>
      <c r="M12">
        <v>52.552</v>
      </c>
      <c r="N12">
        <v>14.375</v>
      </c>
      <c r="O12">
        <v>0.97799999999999998</v>
      </c>
      <c r="P12">
        <v>0</v>
      </c>
      <c r="Q12">
        <v>60.843000000000004</v>
      </c>
      <c r="R12">
        <v>60.5</v>
      </c>
      <c r="S12">
        <v>34.729999999999997</v>
      </c>
    </row>
    <row r="13" spans="1:21" x14ac:dyDescent="0.3">
      <c r="A13" t="s">
        <v>187</v>
      </c>
      <c r="B13">
        <v>314.85300000000001</v>
      </c>
      <c r="C13">
        <v>75.352000000000004</v>
      </c>
      <c r="D13">
        <v>51.689</v>
      </c>
      <c r="E13">
        <v>0.54800000000000004</v>
      </c>
      <c r="F13">
        <v>81.134</v>
      </c>
      <c r="G13">
        <v>11.818</v>
      </c>
      <c r="H13">
        <v>127.788</v>
      </c>
      <c r="I13">
        <v>50.911999999999999</v>
      </c>
      <c r="J13">
        <v>10.042</v>
      </c>
      <c r="K13">
        <v>230.07599999999999</v>
      </c>
      <c r="L13">
        <v>14.702999999999999</v>
      </c>
      <c r="M13">
        <v>52.476999999999997</v>
      </c>
      <c r="N13">
        <v>14.371</v>
      </c>
      <c r="O13">
        <v>0.97399999999999998</v>
      </c>
      <c r="P13">
        <v>0</v>
      </c>
      <c r="Q13">
        <v>60.841999999999999</v>
      </c>
      <c r="R13">
        <v>60.5</v>
      </c>
      <c r="S13">
        <v>34.729999999999997</v>
      </c>
    </row>
    <row r="14" spans="1:21" x14ac:dyDescent="0.3">
      <c r="A14" t="s">
        <v>188</v>
      </c>
      <c r="B14">
        <v>315.31700000000001</v>
      </c>
      <c r="C14">
        <v>75.391000000000005</v>
      </c>
      <c r="D14">
        <v>51.918999999999997</v>
      </c>
      <c r="E14">
        <v>0.58699999999999997</v>
      </c>
      <c r="F14">
        <v>81.445999999999998</v>
      </c>
      <c r="G14">
        <v>12.198</v>
      </c>
      <c r="H14">
        <v>127.937</v>
      </c>
      <c r="I14">
        <v>51.429000000000002</v>
      </c>
      <c r="J14">
        <v>10.048</v>
      </c>
      <c r="K14">
        <v>230.273</v>
      </c>
      <c r="L14">
        <v>14.436</v>
      </c>
      <c r="M14">
        <v>52.637999999999998</v>
      </c>
      <c r="N14">
        <v>14.369</v>
      </c>
      <c r="O14">
        <v>0.96799999999999997</v>
      </c>
      <c r="P14">
        <v>0</v>
      </c>
      <c r="Q14">
        <v>60.848999999999997</v>
      </c>
      <c r="R14">
        <v>60.5</v>
      </c>
      <c r="S14">
        <v>34.729999999999997</v>
      </c>
    </row>
    <row r="15" spans="1:21" x14ac:dyDescent="0.3">
      <c r="A15" t="s">
        <v>189</v>
      </c>
      <c r="B15">
        <v>316.01499999999999</v>
      </c>
      <c r="C15">
        <v>75.358999999999995</v>
      </c>
      <c r="D15">
        <v>52.07</v>
      </c>
      <c r="E15">
        <v>0.56399999999999995</v>
      </c>
      <c r="F15">
        <v>79.912000000000006</v>
      </c>
      <c r="G15">
        <v>12.388</v>
      </c>
      <c r="H15">
        <v>127.974</v>
      </c>
      <c r="I15">
        <v>51.076000000000001</v>
      </c>
      <c r="J15">
        <v>10.042999999999999</v>
      </c>
      <c r="K15">
        <v>230.322</v>
      </c>
      <c r="L15">
        <v>14.707000000000001</v>
      </c>
      <c r="M15">
        <v>52.664000000000001</v>
      </c>
      <c r="N15">
        <v>14.371</v>
      </c>
      <c r="O15">
        <v>0.96699999999999997</v>
      </c>
      <c r="P15">
        <v>0</v>
      </c>
      <c r="Q15">
        <v>60.850999999999999</v>
      </c>
      <c r="R15">
        <v>60.4</v>
      </c>
      <c r="S15">
        <v>34.729999999999997</v>
      </c>
    </row>
    <row r="16" spans="1:21" x14ac:dyDescent="0.3">
      <c r="A16" t="s">
        <v>190</v>
      </c>
      <c r="B16">
        <v>315.65499999999997</v>
      </c>
      <c r="C16">
        <v>75.364999999999995</v>
      </c>
      <c r="D16">
        <v>52.286999999999999</v>
      </c>
      <c r="E16">
        <v>0.59599999999999997</v>
      </c>
      <c r="F16">
        <v>81.912999999999997</v>
      </c>
      <c r="G16">
        <v>12.59</v>
      </c>
      <c r="H16">
        <v>127.797</v>
      </c>
      <c r="I16">
        <v>51.420999999999999</v>
      </c>
      <c r="J16">
        <v>10.045</v>
      </c>
      <c r="K16">
        <v>230.191</v>
      </c>
      <c r="L16">
        <v>14.669</v>
      </c>
      <c r="M16">
        <v>52.463000000000001</v>
      </c>
      <c r="N16">
        <v>14.375999999999999</v>
      </c>
      <c r="O16">
        <v>0.98899999999999999</v>
      </c>
      <c r="P16">
        <v>0</v>
      </c>
      <c r="Q16">
        <v>60.856000000000002</v>
      </c>
      <c r="R16">
        <v>60.5</v>
      </c>
      <c r="S16">
        <v>34.729999999999997</v>
      </c>
    </row>
    <row r="17" spans="1:19" x14ac:dyDescent="0.3">
      <c r="A17" t="s">
        <v>191</v>
      </c>
      <c r="B17">
        <v>315.86099999999999</v>
      </c>
      <c r="C17">
        <v>75.382000000000005</v>
      </c>
      <c r="D17">
        <v>52.433999999999997</v>
      </c>
      <c r="E17">
        <v>0.60399999999999998</v>
      </c>
      <c r="F17">
        <v>79.873000000000005</v>
      </c>
      <c r="G17">
        <v>12.114000000000001</v>
      </c>
      <c r="H17">
        <v>127.806</v>
      </c>
      <c r="I17">
        <v>51.7</v>
      </c>
      <c r="J17">
        <v>10.044</v>
      </c>
      <c r="K17">
        <v>230.28899999999999</v>
      </c>
      <c r="L17">
        <v>14.666</v>
      </c>
      <c r="M17">
        <v>52.738999999999997</v>
      </c>
      <c r="N17">
        <v>14.364000000000001</v>
      </c>
      <c r="O17">
        <v>0.97699999999999998</v>
      </c>
      <c r="P17">
        <v>0</v>
      </c>
      <c r="Q17">
        <v>60.853999999999999</v>
      </c>
      <c r="R17">
        <v>60.5</v>
      </c>
      <c r="S17">
        <v>34.729999999999997</v>
      </c>
    </row>
    <row r="18" spans="1:19" x14ac:dyDescent="0.3">
      <c r="A18" t="s">
        <v>192</v>
      </c>
      <c r="B18">
        <v>316.57799999999997</v>
      </c>
      <c r="C18">
        <v>75.358999999999995</v>
      </c>
      <c r="D18">
        <v>52.591999999999999</v>
      </c>
      <c r="E18">
        <v>0.57999999999999996</v>
      </c>
      <c r="F18">
        <v>81.262</v>
      </c>
      <c r="G18">
        <v>12.272</v>
      </c>
      <c r="H18">
        <v>128.06</v>
      </c>
      <c r="I18">
        <v>51.158000000000001</v>
      </c>
      <c r="J18">
        <v>10.047000000000001</v>
      </c>
      <c r="K18">
        <v>230.20699999999999</v>
      </c>
      <c r="L18">
        <v>14.667999999999999</v>
      </c>
      <c r="M18">
        <v>52.637999999999998</v>
      </c>
      <c r="N18">
        <v>14.368</v>
      </c>
      <c r="O18">
        <v>0.98</v>
      </c>
      <c r="P18">
        <v>0</v>
      </c>
      <c r="Q18">
        <v>60.85</v>
      </c>
      <c r="R18">
        <v>60.5</v>
      </c>
      <c r="S18">
        <v>34.729999999999997</v>
      </c>
    </row>
    <row r="19" spans="1:19" x14ac:dyDescent="0.3">
      <c r="A19" t="s">
        <v>193</v>
      </c>
      <c r="B19">
        <v>316.40199999999999</v>
      </c>
      <c r="C19">
        <v>75.394999999999996</v>
      </c>
      <c r="D19">
        <v>52.622</v>
      </c>
      <c r="E19">
        <v>0.53800000000000003</v>
      </c>
      <c r="F19">
        <v>80.680999999999997</v>
      </c>
      <c r="G19">
        <v>12.305999999999999</v>
      </c>
      <c r="H19">
        <v>127.81100000000001</v>
      </c>
      <c r="I19">
        <v>51.59</v>
      </c>
      <c r="J19">
        <v>10.047000000000001</v>
      </c>
      <c r="K19">
        <v>230.38800000000001</v>
      </c>
      <c r="L19">
        <v>14.705</v>
      </c>
      <c r="M19">
        <v>52.581000000000003</v>
      </c>
      <c r="N19">
        <v>14.372</v>
      </c>
      <c r="O19">
        <v>0.96599999999999997</v>
      </c>
      <c r="P19">
        <v>0</v>
      </c>
      <c r="Q19">
        <v>60.854999999999997</v>
      </c>
      <c r="R19">
        <v>60.5</v>
      </c>
      <c r="S19">
        <v>34.729999999999997</v>
      </c>
    </row>
    <row r="20" spans="1:19" x14ac:dyDescent="0.3">
      <c r="A20" t="s">
        <v>194</v>
      </c>
      <c r="B20">
        <v>316.20600000000002</v>
      </c>
      <c r="C20">
        <v>75.450999999999993</v>
      </c>
      <c r="D20">
        <v>52.847999999999999</v>
      </c>
      <c r="E20">
        <v>0.56699999999999995</v>
      </c>
      <c r="F20">
        <v>82.102999999999994</v>
      </c>
      <c r="G20">
        <v>12.653</v>
      </c>
      <c r="H20">
        <v>128.047</v>
      </c>
      <c r="I20">
        <v>51.261000000000003</v>
      </c>
      <c r="J20">
        <v>10.045999999999999</v>
      </c>
      <c r="K20">
        <v>230.142</v>
      </c>
      <c r="L20">
        <v>14.71</v>
      </c>
      <c r="M20">
        <v>52.695999999999998</v>
      </c>
      <c r="N20">
        <v>14.368</v>
      </c>
      <c r="O20">
        <v>0.98899999999999999</v>
      </c>
      <c r="P20">
        <v>0</v>
      </c>
      <c r="Q20">
        <v>60.863999999999997</v>
      </c>
      <c r="R20">
        <v>60.5</v>
      </c>
      <c r="S20">
        <v>34.729999999999997</v>
      </c>
    </row>
    <row r="21" spans="1:19" x14ac:dyDescent="0.3">
      <c r="A21" t="s">
        <v>195</v>
      </c>
      <c r="B21">
        <v>316.98200000000003</v>
      </c>
      <c r="C21">
        <v>75.477000000000004</v>
      </c>
      <c r="D21">
        <v>52.825000000000003</v>
      </c>
      <c r="E21">
        <v>0.57599999999999996</v>
      </c>
      <c r="F21">
        <v>81.067999999999998</v>
      </c>
      <c r="G21">
        <v>12.439</v>
      </c>
      <c r="H21">
        <v>127.895</v>
      </c>
      <c r="I21">
        <v>51.392000000000003</v>
      </c>
      <c r="J21">
        <v>10.044</v>
      </c>
      <c r="K21">
        <v>230.339</v>
      </c>
      <c r="L21">
        <v>14.712999999999999</v>
      </c>
      <c r="M21">
        <v>52.579000000000001</v>
      </c>
      <c r="N21">
        <v>14.364000000000001</v>
      </c>
      <c r="O21">
        <v>0.97399999999999998</v>
      </c>
      <c r="P21">
        <v>0</v>
      </c>
      <c r="Q21">
        <v>60.841000000000001</v>
      </c>
      <c r="R21">
        <v>60.6</v>
      </c>
      <c r="S21">
        <v>34.729999999999997</v>
      </c>
    </row>
    <row r="22" spans="1:19" x14ac:dyDescent="0.3">
      <c r="A22" t="s">
        <v>196</v>
      </c>
      <c r="B22">
        <v>316.73399999999998</v>
      </c>
      <c r="C22">
        <v>75.513000000000005</v>
      </c>
      <c r="D22">
        <v>52.930999999999997</v>
      </c>
      <c r="E22">
        <v>0.56599999999999995</v>
      </c>
      <c r="F22">
        <v>81.356999999999999</v>
      </c>
      <c r="G22">
        <v>12.91</v>
      </c>
      <c r="H22">
        <v>127.985</v>
      </c>
      <c r="I22">
        <v>51.639000000000003</v>
      </c>
      <c r="J22">
        <v>10.045999999999999</v>
      </c>
      <c r="K22">
        <v>230.142</v>
      </c>
      <c r="L22">
        <v>14.696</v>
      </c>
      <c r="M22">
        <v>52.755000000000003</v>
      </c>
      <c r="N22">
        <v>14.369</v>
      </c>
      <c r="O22">
        <v>0.96699999999999997</v>
      </c>
      <c r="P22">
        <v>0</v>
      </c>
      <c r="Q22">
        <v>60.834000000000003</v>
      </c>
      <c r="R22">
        <v>60.5</v>
      </c>
      <c r="S22">
        <v>34.729999999999997</v>
      </c>
    </row>
    <row r="23" spans="1:19" x14ac:dyDescent="0.3">
      <c r="A23" t="s">
        <v>197</v>
      </c>
      <c r="B23">
        <v>317.09800000000001</v>
      </c>
      <c r="C23">
        <v>75.474000000000004</v>
      </c>
      <c r="D23">
        <v>53.18</v>
      </c>
      <c r="E23">
        <v>0.57799999999999996</v>
      </c>
      <c r="F23">
        <v>81.626999999999995</v>
      </c>
      <c r="G23">
        <v>12.946999999999999</v>
      </c>
      <c r="H23">
        <v>127.974</v>
      </c>
      <c r="I23">
        <v>51.302</v>
      </c>
      <c r="J23">
        <v>9.6430000000000007</v>
      </c>
      <c r="K23">
        <v>230.749</v>
      </c>
      <c r="L23">
        <v>14.081</v>
      </c>
      <c r="M23">
        <v>52.741</v>
      </c>
      <c r="N23">
        <v>13.818</v>
      </c>
      <c r="O23">
        <v>0.97599999999999998</v>
      </c>
      <c r="P23">
        <v>0</v>
      </c>
      <c r="Q23">
        <v>60.817999999999998</v>
      </c>
      <c r="R23">
        <v>60.5</v>
      </c>
      <c r="S23">
        <v>34.729999999999997</v>
      </c>
    </row>
    <row r="24" spans="1:19" x14ac:dyDescent="0.3">
      <c r="A24" t="s">
        <v>198</v>
      </c>
      <c r="B24">
        <v>316.47899999999998</v>
      </c>
      <c r="C24">
        <v>75.497</v>
      </c>
      <c r="D24">
        <v>53.338000000000001</v>
      </c>
      <c r="E24">
        <v>0.51300000000000001</v>
      </c>
      <c r="F24">
        <v>81.787999999999997</v>
      </c>
      <c r="G24">
        <v>13.147</v>
      </c>
      <c r="H24">
        <v>127.873</v>
      </c>
      <c r="I24">
        <v>51.728999999999999</v>
      </c>
      <c r="J24">
        <v>10.051</v>
      </c>
      <c r="K24">
        <v>230.10900000000001</v>
      </c>
      <c r="L24">
        <v>14.686</v>
      </c>
      <c r="M24">
        <v>52.652000000000001</v>
      </c>
      <c r="N24">
        <v>14.372</v>
      </c>
      <c r="O24">
        <v>0.98399999999999999</v>
      </c>
      <c r="P24">
        <v>0</v>
      </c>
      <c r="Q24">
        <v>60.832000000000001</v>
      </c>
      <c r="R24">
        <v>60.5</v>
      </c>
      <c r="S24">
        <v>34.729999999999997</v>
      </c>
    </row>
    <row r="25" spans="1:19" x14ac:dyDescent="0.3">
      <c r="A25" t="s">
        <v>199</v>
      </c>
      <c r="B25">
        <v>316.36900000000003</v>
      </c>
      <c r="C25">
        <v>75.522999999999996</v>
      </c>
      <c r="D25">
        <v>53.521999999999998</v>
      </c>
      <c r="E25">
        <v>0.58799999999999997</v>
      </c>
      <c r="F25">
        <v>81.364000000000004</v>
      </c>
      <c r="G25">
        <v>12.975</v>
      </c>
      <c r="H25">
        <v>127.898</v>
      </c>
      <c r="I25">
        <v>51.503</v>
      </c>
      <c r="J25">
        <v>10.045999999999999</v>
      </c>
      <c r="K25">
        <v>230.35499999999999</v>
      </c>
      <c r="L25">
        <v>14.672000000000001</v>
      </c>
      <c r="M25">
        <v>52.606999999999999</v>
      </c>
      <c r="N25">
        <v>14.372</v>
      </c>
      <c r="O25">
        <v>1.2909999999999999</v>
      </c>
      <c r="P25">
        <v>0</v>
      </c>
      <c r="Q25">
        <v>60.838999999999999</v>
      </c>
      <c r="R25">
        <v>60.5</v>
      </c>
      <c r="S25">
        <v>34.729999999999997</v>
      </c>
    </row>
    <row r="26" spans="1:19" x14ac:dyDescent="0.3">
      <c r="A26" t="s">
        <v>200</v>
      </c>
      <c r="B26">
        <v>317.23700000000002</v>
      </c>
      <c r="C26">
        <v>75.503</v>
      </c>
      <c r="D26">
        <v>53.600999999999999</v>
      </c>
      <c r="E26">
        <v>0.53900000000000003</v>
      </c>
      <c r="F26">
        <v>81.045000000000002</v>
      </c>
      <c r="G26">
        <v>13.237</v>
      </c>
      <c r="H26">
        <v>128.03100000000001</v>
      </c>
      <c r="I26">
        <v>51.54</v>
      </c>
      <c r="J26">
        <v>10.042999999999999</v>
      </c>
      <c r="K26">
        <v>229.977</v>
      </c>
      <c r="L26">
        <v>14.593999999999999</v>
      </c>
      <c r="M26">
        <v>52.615000000000002</v>
      </c>
      <c r="N26">
        <v>14.364000000000001</v>
      </c>
      <c r="O26">
        <v>0.96299999999999997</v>
      </c>
      <c r="P26">
        <v>0</v>
      </c>
      <c r="Q26">
        <v>60.838999999999999</v>
      </c>
      <c r="R26">
        <v>60.5</v>
      </c>
      <c r="S26">
        <v>34.729999999999997</v>
      </c>
    </row>
    <row r="27" spans="1:19" x14ac:dyDescent="0.3">
      <c r="A27" t="s">
        <v>201</v>
      </c>
      <c r="B27">
        <v>317.51600000000002</v>
      </c>
      <c r="C27">
        <v>75.575000000000003</v>
      </c>
      <c r="D27">
        <v>53.573999999999998</v>
      </c>
      <c r="E27">
        <v>0.60499999999999998</v>
      </c>
      <c r="F27">
        <v>81.471999999999994</v>
      </c>
      <c r="G27">
        <v>12.638999999999999</v>
      </c>
      <c r="H27">
        <v>127.879</v>
      </c>
      <c r="I27">
        <v>50.933</v>
      </c>
      <c r="J27">
        <v>10.045999999999999</v>
      </c>
      <c r="K27">
        <v>230.322</v>
      </c>
      <c r="L27">
        <v>14.599</v>
      </c>
      <c r="M27">
        <v>52.673999999999999</v>
      </c>
      <c r="N27">
        <v>14.37</v>
      </c>
      <c r="O27">
        <v>0.999</v>
      </c>
      <c r="P27">
        <v>0</v>
      </c>
      <c r="Q27">
        <v>60.823</v>
      </c>
      <c r="R27">
        <v>60.5</v>
      </c>
      <c r="S27">
        <v>34.729999999999997</v>
      </c>
    </row>
    <row r="28" spans="1:19" x14ac:dyDescent="0.3">
      <c r="A28" t="s">
        <v>202</v>
      </c>
      <c r="B28">
        <v>318.11</v>
      </c>
      <c r="C28">
        <v>75.661000000000001</v>
      </c>
      <c r="D28">
        <v>53.66</v>
      </c>
      <c r="E28">
        <v>0.53200000000000003</v>
      </c>
      <c r="F28">
        <v>80.855000000000004</v>
      </c>
      <c r="G28">
        <v>13.637</v>
      </c>
      <c r="H28">
        <v>127.971</v>
      </c>
      <c r="I28">
        <v>51.713000000000001</v>
      </c>
      <c r="J28">
        <v>10.042</v>
      </c>
      <c r="K28">
        <v>229.96100000000001</v>
      </c>
      <c r="L28">
        <v>14.574999999999999</v>
      </c>
      <c r="M28">
        <v>52.648000000000003</v>
      </c>
      <c r="N28">
        <v>14.37</v>
      </c>
      <c r="O28">
        <v>0.98099999999999998</v>
      </c>
      <c r="P28">
        <v>0</v>
      </c>
      <c r="Q28">
        <v>60.831000000000003</v>
      </c>
      <c r="R28">
        <v>60.6</v>
      </c>
      <c r="S28">
        <v>34.729999999999997</v>
      </c>
    </row>
    <row r="29" spans="1:19" x14ac:dyDescent="0.3">
      <c r="A29" t="s">
        <v>203</v>
      </c>
      <c r="B29">
        <v>317.95699999999999</v>
      </c>
      <c r="C29">
        <v>75.641000000000005</v>
      </c>
      <c r="D29">
        <v>53.831000000000003</v>
      </c>
      <c r="E29">
        <v>0.58099999999999996</v>
      </c>
      <c r="F29">
        <v>81.896000000000001</v>
      </c>
      <c r="G29">
        <v>13.439</v>
      </c>
      <c r="H29">
        <v>128.059</v>
      </c>
      <c r="I29">
        <v>51.860999999999997</v>
      </c>
      <c r="J29">
        <v>10.055</v>
      </c>
      <c r="K29">
        <v>230.322</v>
      </c>
      <c r="L29">
        <v>14.593</v>
      </c>
      <c r="M29">
        <v>52.822000000000003</v>
      </c>
      <c r="N29">
        <v>14.379</v>
      </c>
      <c r="O29">
        <v>0.96699999999999997</v>
      </c>
      <c r="P29">
        <v>0</v>
      </c>
      <c r="Q29">
        <v>60.814</v>
      </c>
      <c r="R29">
        <v>60.5</v>
      </c>
      <c r="S29">
        <v>34.729999999999997</v>
      </c>
    </row>
    <row r="30" spans="1:19" x14ac:dyDescent="0.3">
      <c r="A30" t="s">
        <v>204</v>
      </c>
      <c r="B30">
        <v>318.60000000000002</v>
      </c>
      <c r="C30">
        <v>75.650999999999996</v>
      </c>
      <c r="D30">
        <v>54.024999999999999</v>
      </c>
      <c r="E30">
        <v>0.55000000000000004</v>
      </c>
      <c r="F30">
        <v>81.971999999999994</v>
      </c>
      <c r="G30">
        <v>13.609</v>
      </c>
      <c r="H30">
        <v>128.13999999999999</v>
      </c>
      <c r="I30">
        <v>51.581000000000003</v>
      </c>
      <c r="J30">
        <v>10.041</v>
      </c>
      <c r="K30">
        <v>229.96100000000001</v>
      </c>
      <c r="L30">
        <v>14.582000000000001</v>
      </c>
      <c r="M30">
        <v>52.515999999999998</v>
      </c>
      <c r="N30">
        <v>14.374000000000001</v>
      </c>
      <c r="O30">
        <v>0.98099999999999998</v>
      </c>
      <c r="P30">
        <v>0</v>
      </c>
      <c r="Q30">
        <v>60.811999999999998</v>
      </c>
      <c r="R30">
        <v>60.5</v>
      </c>
      <c r="S30">
        <v>34.729999999999997</v>
      </c>
    </row>
    <row r="31" spans="1:19" x14ac:dyDescent="0.3">
      <c r="A31" t="s">
        <v>205</v>
      </c>
      <c r="B31">
        <v>317.39600000000002</v>
      </c>
      <c r="C31">
        <v>75.658000000000001</v>
      </c>
      <c r="D31">
        <v>54.005000000000003</v>
      </c>
      <c r="E31">
        <v>0.59399999999999997</v>
      </c>
      <c r="F31">
        <v>82.113</v>
      </c>
      <c r="G31">
        <v>14.095000000000001</v>
      </c>
      <c r="H31">
        <v>127.977</v>
      </c>
      <c r="I31">
        <v>51.881</v>
      </c>
      <c r="J31">
        <v>10.048</v>
      </c>
      <c r="K31">
        <v>230.37200000000001</v>
      </c>
      <c r="L31">
        <v>14.601000000000001</v>
      </c>
      <c r="M31">
        <v>52.564</v>
      </c>
      <c r="N31">
        <v>14.372</v>
      </c>
      <c r="O31">
        <v>0.98099999999999998</v>
      </c>
      <c r="P31">
        <v>0</v>
      </c>
      <c r="Q31">
        <v>60.805</v>
      </c>
      <c r="R31">
        <v>60.6</v>
      </c>
      <c r="S31">
        <v>34.729999999999997</v>
      </c>
    </row>
    <row r="32" spans="1:19" x14ac:dyDescent="0.3">
      <c r="A32" t="s">
        <v>206</v>
      </c>
      <c r="B32">
        <v>318.27800000000002</v>
      </c>
      <c r="C32">
        <v>75.722999999999999</v>
      </c>
      <c r="D32">
        <v>54.171999999999997</v>
      </c>
      <c r="E32">
        <v>0.55200000000000005</v>
      </c>
      <c r="F32">
        <v>81.962000000000003</v>
      </c>
      <c r="G32">
        <v>13.962</v>
      </c>
      <c r="H32">
        <v>128.001</v>
      </c>
      <c r="I32">
        <v>51.847999999999999</v>
      </c>
      <c r="J32">
        <v>10.048999999999999</v>
      </c>
      <c r="K32">
        <v>230.25700000000001</v>
      </c>
      <c r="L32">
        <v>14.581</v>
      </c>
      <c r="M32">
        <v>52.707000000000001</v>
      </c>
      <c r="N32">
        <v>14.374000000000001</v>
      </c>
      <c r="O32">
        <v>0.97499999999999998</v>
      </c>
      <c r="P32">
        <v>0</v>
      </c>
      <c r="Q32">
        <v>60.786999999999999</v>
      </c>
      <c r="R32">
        <v>60.6</v>
      </c>
      <c r="S32">
        <v>34.729999999999997</v>
      </c>
    </row>
    <row r="33" spans="1:19" x14ac:dyDescent="0.3">
      <c r="A33" t="s">
        <v>207</v>
      </c>
      <c r="B33">
        <v>318.94799999999998</v>
      </c>
      <c r="C33">
        <v>75.712999999999994</v>
      </c>
      <c r="D33">
        <v>54.264000000000003</v>
      </c>
      <c r="E33">
        <v>0.58799999999999997</v>
      </c>
      <c r="F33">
        <v>81.100999999999999</v>
      </c>
      <c r="G33">
        <v>14.087</v>
      </c>
      <c r="H33">
        <v>127.93</v>
      </c>
      <c r="I33">
        <v>51.963000000000001</v>
      </c>
      <c r="J33">
        <v>10.048999999999999</v>
      </c>
      <c r="K33">
        <v>230.38800000000001</v>
      </c>
      <c r="L33">
        <v>14.598000000000001</v>
      </c>
      <c r="M33">
        <v>52.527999999999999</v>
      </c>
      <c r="N33">
        <v>14.372</v>
      </c>
      <c r="O33">
        <v>0.96699999999999997</v>
      </c>
      <c r="P33">
        <v>0</v>
      </c>
      <c r="Q33">
        <v>60.784999999999997</v>
      </c>
      <c r="R33">
        <v>60.6</v>
      </c>
      <c r="S33">
        <v>34.729999999999997</v>
      </c>
    </row>
    <row r="34" spans="1:19" x14ac:dyDescent="0.3">
      <c r="A34" t="s">
        <v>208</v>
      </c>
      <c r="B34">
        <v>318.375</v>
      </c>
      <c r="C34">
        <v>75.716999999999999</v>
      </c>
      <c r="D34">
        <v>54.363</v>
      </c>
      <c r="E34">
        <v>0.54200000000000004</v>
      </c>
      <c r="F34">
        <v>82.427999999999997</v>
      </c>
      <c r="G34">
        <v>14.159000000000001</v>
      </c>
      <c r="H34">
        <v>128.06399999999999</v>
      </c>
      <c r="I34">
        <v>51.531999999999996</v>
      </c>
      <c r="J34">
        <v>10.037000000000001</v>
      </c>
      <c r="K34">
        <v>229.977</v>
      </c>
      <c r="L34">
        <v>14.565</v>
      </c>
      <c r="M34">
        <v>52.633000000000003</v>
      </c>
      <c r="N34">
        <v>14.368</v>
      </c>
      <c r="O34">
        <v>0.96299999999999997</v>
      </c>
      <c r="P34">
        <v>0</v>
      </c>
      <c r="Q34">
        <v>60.780999999999999</v>
      </c>
      <c r="R34">
        <v>60.6</v>
      </c>
      <c r="S34">
        <v>34.729999999999997</v>
      </c>
    </row>
    <row r="35" spans="1:19" ht="15" thickBot="1" x14ac:dyDescent="0.35">
      <c r="A35" t="s">
        <v>209</v>
      </c>
      <c r="B35">
        <v>318.93599999999998</v>
      </c>
      <c r="C35">
        <v>75.739999999999995</v>
      </c>
      <c r="D35">
        <v>54.517000000000003</v>
      </c>
      <c r="E35">
        <v>0.59599999999999997</v>
      </c>
      <c r="F35">
        <v>82.230999999999995</v>
      </c>
      <c r="G35">
        <v>13.936999999999999</v>
      </c>
      <c r="H35">
        <v>128.095</v>
      </c>
      <c r="I35">
        <v>51.709000000000003</v>
      </c>
      <c r="J35">
        <v>10.045</v>
      </c>
      <c r="K35">
        <v>230.30600000000001</v>
      </c>
      <c r="L35">
        <v>14.597</v>
      </c>
      <c r="M35">
        <v>52.610999999999997</v>
      </c>
      <c r="N35">
        <v>14.367000000000001</v>
      </c>
      <c r="O35">
        <v>0.97499999999999998</v>
      </c>
      <c r="P35">
        <v>0</v>
      </c>
      <c r="Q35">
        <v>60.777000000000001</v>
      </c>
      <c r="R35">
        <v>60.5</v>
      </c>
      <c r="S35">
        <v>34.729999999999997</v>
      </c>
    </row>
    <row r="36" spans="1:19" ht="15" thickBot="1" x14ac:dyDescent="0.35">
      <c r="A36" t="s">
        <v>30</v>
      </c>
      <c r="B36" s="1">
        <f>AVERAGE(B6:B35)</f>
        <v>316.4129666666667</v>
      </c>
      <c r="C36" s="1">
        <f>AVERAGE(C6:C35)</f>
        <v>75.438299999999998</v>
      </c>
      <c r="D36" s="1">
        <f t="shared" ref="D36:S36" si="0">AVERAGE(D6:D35)</f>
        <v>52.808233333333334</v>
      </c>
      <c r="E36" s="10">
        <f t="shared" si="0"/>
        <v>0.57056666666666667</v>
      </c>
      <c r="F36" s="1">
        <f t="shared" si="0"/>
        <v>81.233666666666679</v>
      </c>
      <c r="G36" s="1">
        <f t="shared" si="0"/>
        <v>12.617766666666665</v>
      </c>
      <c r="H36" s="10">
        <f t="shared" si="0"/>
        <v>127.9156</v>
      </c>
      <c r="I36" s="1">
        <f t="shared" si="0"/>
        <v>51.380500000000005</v>
      </c>
      <c r="J36" s="8">
        <f t="shared" si="0"/>
        <v>10.03153333333333</v>
      </c>
      <c r="K36" s="1">
        <f t="shared" si="0"/>
        <v>230.22703333333331</v>
      </c>
      <c r="L36" s="1">
        <f t="shared" si="0"/>
        <v>14.604166666666666</v>
      </c>
      <c r="M36" s="1">
        <f t="shared" si="0"/>
        <v>52.628100000000018</v>
      </c>
      <c r="N36" s="1">
        <f t="shared" si="0"/>
        <v>14.35166666666667</v>
      </c>
      <c r="O36" s="1">
        <f t="shared" si="0"/>
        <v>0.98736666666666695</v>
      </c>
      <c r="P36" s="1">
        <f t="shared" si="0"/>
        <v>0</v>
      </c>
      <c r="Q36" s="1">
        <f t="shared" si="0"/>
        <v>60.826000000000008</v>
      </c>
      <c r="R36" s="1">
        <f t="shared" si="0"/>
        <v>60.516666666666652</v>
      </c>
      <c r="S36" s="1">
        <f t="shared" si="0"/>
        <v>34.730000000000011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DB6D-57FD-44A8-9115-61DAD620E3C1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0.60225694444444444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3.0179668490308322</v>
      </c>
      <c r="M2" s="8">
        <f>100*(R36/(R36+Q36))</f>
        <v>49.956413444859173</v>
      </c>
      <c r="O2" s="9">
        <f>100*((E36*C2)/((E36*C2)+(K2*E2)))</f>
        <v>14.125988118208605</v>
      </c>
      <c r="Q2" s="10">
        <f>100*J36*(1/(((C2/3.6)*E36)+((E2/3.6)*K2)))</f>
        <v>24.098954877376652</v>
      </c>
      <c r="S2" s="6">
        <v>3.54</v>
      </c>
      <c r="U2" s="10">
        <f>100*((((G36*0.001*60)*(C36-D36)*(S2/3.6)))/(((C2/3.6)*E36)+((E2/3.6)*K2)))</f>
        <v>71.723453935501624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210</v>
      </c>
      <c r="B6">
        <v>353.01600000000002</v>
      </c>
      <c r="C6">
        <v>77.138999999999996</v>
      </c>
      <c r="D6">
        <v>57.210999999999999</v>
      </c>
      <c r="E6">
        <v>0.60799999999999998</v>
      </c>
      <c r="F6">
        <v>82.363</v>
      </c>
      <c r="G6">
        <v>21.858000000000001</v>
      </c>
      <c r="H6">
        <v>140.20400000000001</v>
      </c>
      <c r="I6">
        <v>52.771999999999998</v>
      </c>
      <c r="J6">
        <v>11.772</v>
      </c>
      <c r="K6">
        <v>230.404</v>
      </c>
      <c r="L6">
        <v>17.076000000000001</v>
      </c>
      <c r="M6">
        <v>52.774000000000001</v>
      </c>
      <c r="N6">
        <v>16.913</v>
      </c>
      <c r="O6">
        <v>0.98499999999999999</v>
      </c>
      <c r="P6">
        <v>0</v>
      </c>
      <c r="Q6">
        <v>65.850999999999999</v>
      </c>
      <c r="R6">
        <v>66.2</v>
      </c>
      <c r="S6">
        <v>41.73</v>
      </c>
    </row>
    <row r="7" spans="1:21" x14ac:dyDescent="0.3">
      <c r="A7" t="s">
        <v>211</v>
      </c>
      <c r="B7">
        <v>353.58100000000002</v>
      </c>
      <c r="C7">
        <v>77.179000000000002</v>
      </c>
      <c r="D7">
        <v>52.142000000000003</v>
      </c>
      <c r="E7">
        <v>0.55300000000000005</v>
      </c>
      <c r="F7">
        <v>82.76</v>
      </c>
      <c r="G7">
        <v>22.149000000000001</v>
      </c>
      <c r="H7">
        <v>140.083</v>
      </c>
      <c r="I7">
        <v>53.067999999999998</v>
      </c>
      <c r="J7">
        <v>11.766</v>
      </c>
      <c r="K7">
        <v>229.977</v>
      </c>
      <c r="L7">
        <v>17.050999999999998</v>
      </c>
      <c r="M7">
        <v>52.722999999999999</v>
      </c>
      <c r="N7">
        <v>16.908999999999999</v>
      </c>
      <c r="O7">
        <v>1.0089999999999999</v>
      </c>
      <c r="P7">
        <v>0</v>
      </c>
      <c r="Q7">
        <v>65.927999999999997</v>
      </c>
      <c r="R7">
        <v>66.2</v>
      </c>
      <c r="S7">
        <v>41.73</v>
      </c>
    </row>
    <row r="8" spans="1:21" x14ac:dyDescent="0.3">
      <c r="A8" t="s">
        <v>212</v>
      </c>
      <c r="B8">
        <v>353.00900000000001</v>
      </c>
      <c r="C8">
        <v>77.116</v>
      </c>
      <c r="D8">
        <v>52.201000000000001</v>
      </c>
      <c r="E8">
        <v>0.57599999999999996</v>
      </c>
      <c r="F8">
        <v>83.355000000000004</v>
      </c>
      <c r="G8">
        <v>22.17</v>
      </c>
      <c r="H8">
        <v>140.441</v>
      </c>
      <c r="I8">
        <v>52.936999999999998</v>
      </c>
      <c r="J8">
        <v>11.776</v>
      </c>
      <c r="K8">
        <v>230.339</v>
      </c>
      <c r="L8">
        <v>17.076000000000001</v>
      </c>
      <c r="M8">
        <v>52.673999999999999</v>
      </c>
      <c r="N8">
        <v>16.914000000000001</v>
      </c>
      <c r="O8">
        <v>0.997</v>
      </c>
      <c r="P8">
        <v>0</v>
      </c>
      <c r="Q8">
        <v>65.954999999999998</v>
      </c>
      <c r="R8">
        <v>66.2</v>
      </c>
      <c r="S8">
        <v>41.73</v>
      </c>
    </row>
    <row r="9" spans="1:21" x14ac:dyDescent="0.3">
      <c r="A9" t="s">
        <v>213</v>
      </c>
      <c r="B9">
        <v>352.46800000000002</v>
      </c>
      <c r="C9">
        <v>77.218000000000004</v>
      </c>
      <c r="D9">
        <v>52.326000000000001</v>
      </c>
      <c r="E9">
        <v>0.56999999999999995</v>
      </c>
      <c r="F9">
        <v>83.722999999999999</v>
      </c>
      <c r="G9">
        <v>22.588999999999999</v>
      </c>
      <c r="H9">
        <v>140.45500000000001</v>
      </c>
      <c r="I9">
        <v>53.093000000000004</v>
      </c>
      <c r="J9">
        <v>11.771000000000001</v>
      </c>
      <c r="K9">
        <v>230.38800000000001</v>
      </c>
      <c r="L9">
        <v>17.074999999999999</v>
      </c>
      <c r="M9">
        <v>52.633000000000003</v>
      </c>
      <c r="N9">
        <v>16.914999999999999</v>
      </c>
      <c r="O9">
        <v>1.0249999999999999</v>
      </c>
      <c r="P9">
        <v>0</v>
      </c>
      <c r="Q9">
        <v>66.021000000000001</v>
      </c>
      <c r="R9">
        <v>66.099999999999994</v>
      </c>
      <c r="S9">
        <v>41.73</v>
      </c>
    </row>
    <row r="10" spans="1:21" x14ac:dyDescent="0.3">
      <c r="A10" t="s">
        <v>214</v>
      </c>
      <c r="B10">
        <v>353.13299999999998</v>
      </c>
      <c r="C10">
        <v>77.271000000000001</v>
      </c>
      <c r="D10">
        <v>52.48</v>
      </c>
      <c r="E10">
        <v>0.60499999999999998</v>
      </c>
      <c r="F10">
        <v>83.378</v>
      </c>
      <c r="G10">
        <v>22.498000000000001</v>
      </c>
      <c r="H10">
        <v>140.256</v>
      </c>
      <c r="I10">
        <v>53.064</v>
      </c>
      <c r="J10">
        <v>11.776999999999999</v>
      </c>
      <c r="K10">
        <v>230.43700000000001</v>
      </c>
      <c r="L10">
        <v>17.181000000000001</v>
      </c>
      <c r="M10">
        <v>52.652000000000001</v>
      </c>
      <c r="N10">
        <v>16.920000000000002</v>
      </c>
      <c r="O10">
        <v>0.996</v>
      </c>
      <c r="P10">
        <v>0</v>
      </c>
      <c r="Q10">
        <v>66.055999999999997</v>
      </c>
      <c r="R10">
        <v>66.099999999999994</v>
      </c>
      <c r="S10">
        <v>41.73</v>
      </c>
    </row>
    <row r="11" spans="1:21" x14ac:dyDescent="0.3">
      <c r="A11" t="s">
        <v>215</v>
      </c>
      <c r="B11">
        <v>353.57</v>
      </c>
      <c r="C11">
        <v>77.182000000000002</v>
      </c>
      <c r="D11">
        <v>52.54</v>
      </c>
      <c r="E11">
        <v>0.56200000000000006</v>
      </c>
      <c r="F11">
        <v>83.308999999999997</v>
      </c>
      <c r="G11">
        <v>22.585000000000001</v>
      </c>
      <c r="H11">
        <v>140.37</v>
      </c>
      <c r="I11">
        <v>53.006</v>
      </c>
      <c r="J11">
        <v>11.766999999999999</v>
      </c>
      <c r="K11">
        <v>230.191</v>
      </c>
      <c r="L11">
        <v>17.199000000000002</v>
      </c>
      <c r="M11">
        <v>52.606999999999999</v>
      </c>
      <c r="N11">
        <v>16.911000000000001</v>
      </c>
      <c r="O11">
        <v>0.999</v>
      </c>
      <c r="P11">
        <v>0</v>
      </c>
      <c r="Q11">
        <v>66.11</v>
      </c>
      <c r="R11">
        <v>66.099999999999994</v>
      </c>
      <c r="S11">
        <v>41.73</v>
      </c>
    </row>
    <row r="12" spans="1:21" x14ac:dyDescent="0.3">
      <c r="A12" t="s">
        <v>216</v>
      </c>
      <c r="B12">
        <v>353.70400000000001</v>
      </c>
      <c r="C12">
        <v>77.307000000000002</v>
      </c>
      <c r="D12">
        <v>52.651000000000003</v>
      </c>
      <c r="E12">
        <v>0.61399999999999999</v>
      </c>
      <c r="F12">
        <v>83.314999999999998</v>
      </c>
      <c r="G12">
        <v>22.806000000000001</v>
      </c>
      <c r="H12">
        <v>140.655</v>
      </c>
      <c r="I12">
        <v>52.694000000000003</v>
      </c>
      <c r="J12">
        <v>11.776999999999999</v>
      </c>
      <c r="K12">
        <v>230.45400000000001</v>
      </c>
      <c r="L12">
        <v>17.219000000000001</v>
      </c>
      <c r="M12">
        <v>52.777999999999999</v>
      </c>
      <c r="N12">
        <v>16.925000000000001</v>
      </c>
      <c r="O12">
        <v>1.004</v>
      </c>
      <c r="P12">
        <v>0</v>
      </c>
      <c r="Q12">
        <v>66.144000000000005</v>
      </c>
      <c r="R12">
        <v>66.099999999999994</v>
      </c>
      <c r="S12">
        <v>41.73</v>
      </c>
    </row>
    <row r="13" spans="1:21" x14ac:dyDescent="0.3">
      <c r="A13" t="s">
        <v>217</v>
      </c>
      <c r="B13">
        <v>354.54599999999999</v>
      </c>
      <c r="C13">
        <v>77.171999999999997</v>
      </c>
      <c r="D13">
        <v>52.756</v>
      </c>
      <c r="E13">
        <v>0.58499999999999996</v>
      </c>
      <c r="F13">
        <v>83.519000000000005</v>
      </c>
      <c r="G13">
        <v>23.292999999999999</v>
      </c>
      <c r="H13">
        <v>140.535</v>
      </c>
      <c r="I13">
        <v>52.792999999999999</v>
      </c>
      <c r="J13">
        <v>11.766999999999999</v>
      </c>
      <c r="K13">
        <v>230.273</v>
      </c>
      <c r="L13">
        <v>17.196000000000002</v>
      </c>
      <c r="M13">
        <v>52.753</v>
      </c>
      <c r="N13">
        <v>16.922000000000001</v>
      </c>
      <c r="O13">
        <v>0.997</v>
      </c>
      <c r="P13">
        <v>0</v>
      </c>
      <c r="Q13">
        <v>66.186000000000007</v>
      </c>
      <c r="R13">
        <v>66.099999999999994</v>
      </c>
      <c r="S13">
        <v>41.73</v>
      </c>
    </row>
    <row r="14" spans="1:21" x14ac:dyDescent="0.3">
      <c r="A14" t="s">
        <v>218</v>
      </c>
      <c r="B14">
        <v>354.68400000000003</v>
      </c>
      <c r="C14">
        <v>77.290000000000006</v>
      </c>
      <c r="D14">
        <v>52.881</v>
      </c>
      <c r="E14">
        <v>0.56200000000000006</v>
      </c>
      <c r="F14">
        <v>84.36</v>
      </c>
      <c r="G14">
        <v>23.277000000000001</v>
      </c>
      <c r="H14">
        <v>140.858</v>
      </c>
      <c r="I14">
        <v>53.06</v>
      </c>
      <c r="J14">
        <v>11.773999999999999</v>
      </c>
      <c r="K14">
        <v>230.38800000000001</v>
      </c>
      <c r="L14">
        <v>17.190999999999999</v>
      </c>
      <c r="M14">
        <v>52.603000000000002</v>
      </c>
      <c r="N14">
        <v>16.914999999999999</v>
      </c>
      <c r="O14">
        <v>0.98899999999999999</v>
      </c>
      <c r="P14">
        <v>0</v>
      </c>
      <c r="Q14">
        <v>66.209999999999994</v>
      </c>
      <c r="R14">
        <v>66.099999999999994</v>
      </c>
      <c r="S14">
        <v>41.73</v>
      </c>
    </row>
    <row r="15" spans="1:21" x14ac:dyDescent="0.3">
      <c r="A15" t="s">
        <v>219</v>
      </c>
      <c r="B15">
        <v>354.77699999999999</v>
      </c>
      <c r="C15">
        <v>77.316999999999993</v>
      </c>
      <c r="D15">
        <v>52.904000000000003</v>
      </c>
      <c r="E15">
        <v>0.59799999999999998</v>
      </c>
      <c r="F15">
        <v>83.049000000000007</v>
      </c>
      <c r="G15">
        <v>23.343</v>
      </c>
      <c r="H15">
        <v>140.67500000000001</v>
      </c>
      <c r="I15">
        <v>53.015000000000001</v>
      </c>
      <c r="J15">
        <v>11.768000000000001</v>
      </c>
      <c r="K15">
        <v>230.322</v>
      </c>
      <c r="L15">
        <v>17.146000000000001</v>
      </c>
      <c r="M15">
        <v>52.802</v>
      </c>
      <c r="N15">
        <v>16.917999999999999</v>
      </c>
      <c r="O15">
        <v>0.99</v>
      </c>
      <c r="P15">
        <v>0</v>
      </c>
      <c r="Q15">
        <v>66.221000000000004</v>
      </c>
      <c r="R15">
        <v>66</v>
      </c>
      <c r="S15">
        <v>41.73</v>
      </c>
    </row>
    <row r="16" spans="1:21" x14ac:dyDescent="0.3">
      <c r="A16" t="s">
        <v>220</v>
      </c>
      <c r="B16">
        <v>355.05900000000003</v>
      </c>
      <c r="C16">
        <v>77.388999999999996</v>
      </c>
      <c r="D16">
        <v>52.976999999999997</v>
      </c>
      <c r="E16">
        <v>0.53400000000000003</v>
      </c>
      <c r="F16">
        <v>83.436999999999998</v>
      </c>
      <c r="G16">
        <v>23.873000000000001</v>
      </c>
      <c r="H16">
        <v>141.00700000000001</v>
      </c>
      <c r="I16">
        <v>53.084000000000003</v>
      </c>
      <c r="J16">
        <v>11.763999999999999</v>
      </c>
      <c r="K16">
        <v>230.059</v>
      </c>
      <c r="L16">
        <v>17.120999999999999</v>
      </c>
      <c r="M16">
        <v>52.615000000000002</v>
      </c>
      <c r="N16">
        <v>16.920000000000002</v>
      </c>
      <c r="O16">
        <v>1.006</v>
      </c>
      <c r="P16">
        <v>0</v>
      </c>
      <c r="Q16">
        <v>66.247</v>
      </c>
      <c r="R16">
        <v>66</v>
      </c>
      <c r="S16">
        <v>41.73</v>
      </c>
    </row>
    <row r="17" spans="1:19" x14ac:dyDescent="0.3">
      <c r="A17" t="s">
        <v>221</v>
      </c>
      <c r="B17">
        <v>354.66399999999999</v>
      </c>
      <c r="C17">
        <v>77.343000000000004</v>
      </c>
      <c r="D17">
        <v>53.039000000000001</v>
      </c>
      <c r="E17">
        <v>0.60699999999999998</v>
      </c>
      <c r="F17">
        <v>83.828000000000003</v>
      </c>
      <c r="G17">
        <v>23.76</v>
      </c>
      <c r="H17">
        <v>140.595</v>
      </c>
      <c r="I17">
        <v>52.859000000000002</v>
      </c>
      <c r="J17">
        <v>11.772</v>
      </c>
      <c r="K17">
        <v>230.48599999999999</v>
      </c>
      <c r="L17">
        <v>17.149000000000001</v>
      </c>
      <c r="M17">
        <v>52.561999999999998</v>
      </c>
      <c r="N17">
        <v>16.914999999999999</v>
      </c>
      <c r="O17">
        <v>0.99199999999999999</v>
      </c>
      <c r="P17">
        <v>0</v>
      </c>
      <c r="Q17">
        <v>66.257999999999996</v>
      </c>
      <c r="R17">
        <v>66.099999999999994</v>
      </c>
      <c r="S17">
        <v>41.73</v>
      </c>
    </row>
    <row r="18" spans="1:19" x14ac:dyDescent="0.3">
      <c r="A18" t="s">
        <v>222</v>
      </c>
      <c r="B18">
        <v>354.63499999999999</v>
      </c>
      <c r="C18">
        <v>77.366</v>
      </c>
      <c r="D18">
        <v>53.143999999999998</v>
      </c>
      <c r="E18">
        <v>0.58399999999999996</v>
      </c>
      <c r="F18">
        <v>83.756</v>
      </c>
      <c r="G18">
        <v>23.901</v>
      </c>
      <c r="H18">
        <v>140.81200000000001</v>
      </c>
      <c r="I18">
        <v>52.936999999999998</v>
      </c>
      <c r="J18">
        <v>11.773</v>
      </c>
      <c r="K18">
        <v>230.30600000000001</v>
      </c>
      <c r="L18">
        <v>17.167000000000002</v>
      </c>
      <c r="M18">
        <v>52.661999999999999</v>
      </c>
      <c r="N18">
        <v>16.919</v>
      </c>
      <c r="O18">
        <v>1.006</v>
      </c>
      <c r="P18">
        <v>0</v>
      </c>
      <c r="Q18">
        <v>66.265000000000001</v>
      </c>
      <c r="R18">
        <v>66.099999999999994</v>
      </c>
      <c r="S18">
        <v>41.73</v>
      </c>
    </row>
    <row r="19" spans="1:19" x14ac:dyDescent="0.3">
      <c r="A19" t="s">
        <v>223</v>
      </c>
      <c r="B19">
        <v>355.476</v>
      </c>
      <c r="C19">
        <v>77.409000000000006</v>
      </c>
      <c r="D19">
        <v>53.302</v>
      </c>
      <c r="E19">
        <v>0.57099999999999995</v>
      </c>
      <c r="F19">
        <v>83.245999999999995</v>
      </c>
      <c r="G19">
        <v>24.166</v>
      </c>
      <c r="H19">
        <v>140.88900000000001</v>
      </c>
      <c r="I19">
        <v>53.018999999999998</v>
      </c>
      <c r="J19">
        <v>11.766</v>
      </c>
      <c r="K19">
        <v>230.42099999999999</v>
      </c>
      <c r="L19">
        <v>17.187000000000001</v>
      </c>
      <c r="M19">
        <v>52.64</v>
      </c>
      <c r="N19">
        <v>16.922999999999998</v>
      </c>
      <c r="O19">
        <v>1.006</v>
      </c>
      <c r="P19">
        <v>0</v>
      </c>
      <c r="Q19">
        <v>66.281999999999996</v>
      </c>
      <c r="R19">
        <v>66.099999999999994</v>
      </c>
      <c r="S19">
        <v>41.73</v>
      </c>
    </row>
    <row r="20" spans="1:19" x14ac:dyDescent="0.3">
      <c r="A20" t="s">
        <v>224</v>
      </c>
      <c r="B20">
        <v>355.63099999999997</v>
      </c>
      <c r="C20">
        <v>77.435000000000002</v>
      </c>
      <c r="D20">
        <v>53.314999999999998</v>
      </c>
      <c r="E20">
        <v>0.625</v>
      </c>
      <c r="F20">
        <v>83.180999999999997</v>
      </c>
      <c r="G20">
        <v>24.32</v>
      </c>
      <c r="H20">
        <v>140.83099999999999</v>
      </c>
      <c r="I20">
        <v>52.776000000000003</v>
      </c>
      <c r="J20">
        <v>11.776999999999999</v>
      </c>
      <c r="K20">
        <v>230.43700000000001</v>
      </c>
      <c r="L20">
        <v>17.187999999999999</v>
      </c>
      <c r="M20">
        <v>52.749000000000002</v>
      </c>
      <c r="N20">
        <v>16.91</v>
      </c>
      <c r="O20">
        <v>1.0069999999999999</v>
      </c>
      <c r="P20">
        <v>0</v>
      </c>
      <c r="Q20">
        <v>66.302999999999997</v>
      </c>
      <c r="R20">
        <v>66.099999999999994</v>
      </c>
      <c r="S20">
        <v>41.73</v>
      </c>
    </row>
    <row r="21" spans="1:19" x14ac:dyDescent="0.3">
      <c r="A21" t="s">
        <v>225</v>
      </c>
      <c r="B21">
        <v>355.94</v>
      </c>
      <c r="C21">
        <v>77.501000000000005</v>
      </c>
      <c r="D21">
        <v>53.436</v>
      </c>
      <c r="E21">
        <v>0.54300000000000004</v>
      </c>
      <c r="F21">
        <v>83.843999999999994</v>
      </c>
      <c r="G21">
        <v>24.702999999999999</v>
      </c>
      <c r="H21">
        <v>141.00899999999999</v>
      </c>
      <c r="I21">
        <v>52.682000000000002</v>
      </c>
      <c r="J21">
        <v>11.769</v>
      </c>
      <c r="K21">
        <v>230.50299999999999</v>
      </c>
      <c r="L21">
        <v>17.18</v>
      </c>
      <c r="M21">
        <v>52.631</v>
      </c>
      <c r="N21">
        <v>16.911000000000001</v>
      </c>
      <c r="O21">
        <v>0.99099999999999999</v>
      </c>
      <c r="P21">
        <v>0</v>
      </c>
      <c r="Q21">
        <v>66.28</v>
      </c>
      <c r="R21">
        <v>66</v>
      </c>
      <c r="S21">
        <v>41.73</v>
      </c>
    </row>
    <row r="22" spans="1:19" x14ac:dyDescent="0.3">
      <c r="A22" t="s">
        <v>226</v>
      </c>
      <c r="B22">
        <v>355.77800000000002</v>
      </c>
      <c r="C22">
        <v>77.504000000000005</v>
      </c>
      <c r="D22">
        <v>53.524999999999999</v>
      </c>
      <c r="E22">
        <v>0.61299999999999999</v>
      </c>
      <c r="F22">
        <v>83.608000000000004</v>
      </c>
      <c r="G22">
        <v>25.227</v>
      </c>
      <c r="H22">
        <v>140.89599999999999</v>
      </c>
      <c r="I22">
        <v>52.965000000000003</v>
      </c>
      <c r="J22">
        <v>11.769</v>
      </c>
      <c r="K22">
        <v>230.24</v>
      </c>
      <c r="L22">
        <v>17.170999999999999</v>
      </c>
      <c r="M22">
        <v>52.555999999999997</v>
      </c>
      <c r="N22">
        <v>16.908999999999999</v>
      </c>
      <c r="O22">
        <v>0.99</v>
      </c>
      <c r="P22">
        <v>0</v>
      </c>
      <c r="Q22">
        <v>66.311999999999998</v>
      </c>
      <c r="R22">
        <v>66.099999999999994</v>
      </c>
      <c r="S22">
        <v>41.73</v>
      </c>
    </row>
    <row r="23" spans="1:19" x14ac:dyDescent="0.3">
      <c r="A23" t="s">
        <v>227</v>
      </c>
      <c r="B23">
        <v>355.93</v>
      </c>
      <c r="C23">
        <v>77.494</v>
      </c>
      <c r="D23">
        <v>53.578000000000003</v>
      </c>
      <c r="E23">
        <v>0.56499999999999995</v>
      </c>
      <c r="F23">
        <v>83.411000000000001</v>
      </c>
      <c r="G23">
        <v>24.981999999999999</v>
      </c>
      <c r="H23">
        <v>140.97999999999999</v>
      </c>
      <c r="I23">
        <v>53.01</v>
      </c>
      <c r="J23">
        <v>11.765000000000001</v>
      </c>
      <c r="K23">
        <v>230.37200000000001</v>
      </c>
      <c r="L23">
        <v>17.164999999999999</v>
      </c>
      <c r="M23">
        <v>52.604999999999997</v>
      </c>
      <c r="N23">
        <v>16.928999999999998</v>
      </c>
      <c r="O23">
        <v>1.0149999999999999</v>
      </c>
      <c r="P23">
        <v>0</v>
      </c>
      <c r="Q23">
        <v>66.314999999999998</v>
      </c>
      <c r="R23">
        <v>66.099999999999994</v>
      </c>
      <c r="S23">
        <v>41.73</v>
      </c>
    </row>
    <row r="24" spans="1:19" x14ac:dyDescent="0.3">
      <c r="A24" t="s">
        <v>228</v>
      </c>
      <c r="B24">
        <v>356.29199999999997</v>
      </c>
      <c r="C24">
        <v>77.629000000000005</v>
      </c>
      <c r="D24">
        <v>53.67</v>
      </c>
      <c r="E24">
        <v>0.56499999999999995</v>
      </c>
      <c r="F24">
        <v>83.194000000000003</v>
      </c>
      <c r="G24">
        <v>25.292000000000002</v>
      </c>
      <c r="H24">
        <v>141.21</v>
      </c>
      <c r="I24">
        <v>52.789000000000001</v>
      </c>
      <c r="J24">
        <v>11.77</v>
      </c>
      <c r="K24">
        <v>230.24</v>
      </c>
      <c r="L24">
        <v>17.152999999999999</v>
      </c>
      <c r="M24">
        <v>52.648000000000003</v>
      </c>
      <c r="N24">
        <v>16.914000000000001</v>
      </c>
      <c r="O24">
        <v>1.008</v>
      </c>
      <c r="P24">
        <v>0</v>
      </c>
      <c r="Q24">
        <v>66.316999999999993</v>
      </c>
      <c r="R24">
        <v>66.099999999999994</v>
      </c>
      <c r="S24">
        <v>41.73</v>
      </c>
    </row>
    <row r="25" spans="1:19" x14ac:dyDescent="0.3">
      <c r="A25" t="s">
        <v>229</v>
      </c>
      <c r="B25">
        <v>356.31200000000001</v>
      </c>
      <c r="C25">
        <v>77.608999999999995</v>
      </c>
      <c r="D25">
        <v>53.777999999999999</v>
      </c>
      <c r="E25">
        <v>0.60399999999999998</v>
      </c>
      <c r="F25">
        <v>83.49</v>
      </c>
      <c r="G25">
        <v>25.713000000000001</v>
      </c>
      <c r="H25">
        <v>141.255</v>
      </c>
      <c r="I25">
        <v>52.649000000000001</v>
      </c>
      <c r="J25">
        <v>11.768000000000001</v>
      </c>
      <c r="K25">
        <v>230.47</v>
      </c>
      <c r="L25">
        <v>17.161999999999999</v>
      </c>
      <c r="M25">
        <v>52.83</v>
      </c>
      <c r="N25">
        <v>16.905000000000001</v>
      </c>
      <c r="O25">
        <v>0.97599999999999998</v>
      </c>
      <c r="P25">
        <v>0</v>
      </c>
      <c r="Q25">
        <v>66.326999999999998</v>
      </c>
      <c r="R25">
        <v>66.099999999999994</v>
      </c>
      <c r="S25">
        <v>41.73</v>
      </c>
    </row>
    <row r="26" spans="1:19" x14ac:dyDescent="0.3">
      <c r="A26" t="s">
        <v>230</v>
      </c>
      <c r="B26">
        <v>357.15899999999999</v>
      </c>
      <c r="C26">
        <v>77.596000000000004</v>
      </c>
      <c r="D26">
        <v>53.820999999999998</v>
      </c>
      <c r="E26">
        <v>0.59599999999999997</v>
      </c>
      <c r="F26">
        <v>82.593000000000004</v>
      </c>
      <c r="G26">
        <v>25.291</v>
      </c>
      <c r="H26">
        <v>141.42599999999999</v>
      </c>
      <c r="I26">
        <v>52.817</v>
      </c>
      <c r="J26">
        <v>11.768000000000001</v>
      </c>
      <c r="K26">
        <v>230.15799999999999</v>
      </c>
      <c r="L26">
        <v>17.137</v>
      </c>
      <c r="M26">
        <v>52.703000000000003</v>
      </c>
      <c r="N26">
        <v>16.917999999999999</v>
      </c>
      <c r="O26">
        <v>1</v>
      </c>
      <c r="P26">
        <v>0</v>
      </c>
      <c r="Q26">
        <v>66.293999999999997</v>
      </c>
      <c r="R26">
        <v>66.099999999999994</v>
      </c>
      <c r="S26">
        <v>41.73</v>
      </c>
    </row>
    <row r="27" spans="1:19" x14ac:dyDescent="0.3">
      <c r="A27" t="s">
        <v>231</v>
      </c>
      <c r="B27">
        <v>356.68099999999998</v>
      </c>
      <c r="C27">
        <v>77.616</v>
      </c>
      <c r="D27">
        <v>53.91</v>
      </c>
      <c r="E27">
        <v>0.55300000000000005</v>
      </c>
      <c r="F27">
        <v>83.099000000000004</v>
      </c>
      <c r="G27">
        <v>24.977</v>
      </c>
      <c r="H27">
        <v>141.244</v>
      </c>
      <c r="I27">
        <v>53.039000000000001</v>
      </c>
      <c r="J27">
        <v>11.77</v>
      </c>
      <c r="K27">
        <v>230.43700000000001</v>
      </c>
      <c r="L27">
        <v>17.167999999999999</v>
      </c>
      <c r="M27">
        <v>52.811999999999998</v>
      </c>
      <c r="N27">
        <v>16.907</v>
      </c>
      <c r="O27">
        <v>1.002</v>
      </c>
      <c r="P27">
        <v>0</v>
      </c>
      <c r="Q27">
        <v>66.320999999999998</v>
      </c>
      <c r="R27">
        <v>66.099999999999994</v>
      </c>
      <c r="S27">
        <v>41.73</v>
      </c>
    </row>
    <row r="28" spans="1:19" x14ac:dyDescent="0.3">
      <c r="A28" t="s">
        <v>232</v>
      </c>
      <c r="B28">
        <v>357.24099999999999</v>
      </c>
      <c r="C28">
        <v>77.655000000000001</v>
      </c>
      <c r="D28">
        <v>54.024999999999999</v>
      </c>
      <c r="E28">
        <v>0.60899999999999999</v>
      </c>
      <c r="F28">
        <v>83.078999999999994</v>
      </c>
      <c r="G28">
        <v>26.285</v>
      </c>
      <c r="H28">
        <v>141.571</v>
      </c>
      <c r="I28">
        <v>52.945</v>
      </c>
      <c r="J28">
        <v>11.769</v>
      </c>
      <c r="K28">
        <v>230.15799999999999</v>
      </c>
      <c r="L28">
        <v>17.146000000000001</v>
      </c>
      <c r="M28">
        <v>52.716999999999999</v>
      </c>
      <c r="N28">
        <v>16.908999999999999</v>
      </c>
      <c r="O28">
        <v>1.008</v>
      </c>
      <c r="P28">
        <v>0</v>
      </c>
      <c r="Q28">
        <v>66.313999999999993</v>
      </c>
      <c r="R28">
        <v>66.099999999999994</v>
      </c>
      <c r="S28">
        <v>41.73</v>
      </c>
    </row>
    <row r="29" spans="1:19" x14ac:dyDescent="0.3">
      <c r="A29" t="s">
        <v>233</v>
      </c>
      <c r="B29">
        <v>356.995</v>
      </c>
      <c r="C29">
        <v>77.665000000000006</v>
      </c>
      <c r="D29">
        <v>54.161999999999999</v>
      </c>
      <c r="E29">
        <v>0.56799999999999995</v>
      </c>
      <c r="F29">
        <v>83.183999999999997</v>
      </c>
      <c r="G29">
        <v>26.251999999999999</v>
      </c>
      <c r="H29">
        <v>141.31399999999999</v>
      </c>
      <c r="I29">
        <v>52.698</v>
      </c>
      <c r="J29">
        <v>11.772</v>
      </c>
      <c r="K29">
        <v>230.45400000000001</v>
      </c>
      <c r="L29">
        <v>17.166</v>
      </c>
      <c r="M29">
        <v>52.570999999999998</v>
      </c>
      <c r="N29">
        <v>16.917000000000002</v>
      </c>
      <c r="O29">
        <v>0.997</v>
      </c>
      <c r="P29">
        <v>0</v>
      </c>
      <c r="Q29">
        <v>66.328999999999994</v>
      </c>
      <c r="R29">
        <v>66.099999999999994</v>
      </c>
      <c r="S29">
        <v>41.73</v>
      </c>
    </row>
    <row r="30" spans="1:19" x14ac:dyDescent="0.3">
      <c r="A30" t="s">
        <v>234</v>
      </c>
      <c r="B30">
        <v>356.90199999999999</v>
      </c>
      <c r="C30">
        <v>77.730999999999995</v>
      </c>
      <c r="D30">
        <v>52.789000000000001</v>
      </c>
      <c r="E30">
        <v>0.61099999999999999</v>
      </c>
      <c r="F30">
        <v>83.894000000000005</v>
      </c>
      <c r="G30">
        <v>26.385000000000002</v>
      </c>
      <c r="H30">
        <v>141.46</v>
      </c>
      <c r="I30">
        <v>52.628999999999998</v>
      </c>
      <c r="J30">
        <v>11.77</v>
      </c>
      <c r="K30">
        <v>230.09200000000001</v>
      </c>
      <c r="L30">
        <v>17.145</v>
      </c>
      <c r="M30">
        <v>52.738999999999997</v>
      </c>
      <c r="N30">
        <v>16.917999999999999</v>
      </c>
      <c r="O30">
        <v>1.2649999999999999</v>
      </c>
      <c r="P30">
        <v>0</v>
      </c>
      <c r="Q30">
        <v>66.319000000000003</v>
      </c>
      <c r="R30">
        <v>66.099999999999994</v>
      </c>
      <c r="S30">
        <v>41.73</v>
      </c>
    </row>
    <row r="31" spans="1:19" x14ac:dyDescent="0.3">
      <c r="A31" t="s">
        <v>235</v>
      </c>
      <c r="B31">
        <v>356.97399999999999</v>
      </c>
      <c r="C31">
        <v>77.721000000000004</v>
      </c>
      <c r="D31">
        <v>52.904000000000003</v>
      </c>
      <c r="E31">
        <v>0.55300000000000005</v>
      </c>
      <c r="F31">
        <v>83.887</v>
      </c>
      <c r="G31">
        <v>26.338999999999999</v>
      </c>
      <c r="H31">
        <v>141.37</v>
      </c>
      <c r="I31">
        <v>53.093000000000004</v>
      </c>
      <c r="J31">
        <v>11.766</v>
      </c>
      <c r="K31">
        <v>230.63399999999999</v>
      </c>
      <c r="L31">
        <v>17.170000000000002</v>
      </c>
      <c r="M31">
        <v>52.625</v>
      </c>
      <c r="N31">
        <v>16.916</v>
      </c>
      <c r="O31">
        <v>0.99199999999999999</v>
      </c>
      <c r="P31">
        <v>0</v>
      </c>
      <c r="Q31">
        <v>66.340999999999994</v>
      </c>
      <c r="R31">
        <v>66.099999999999994</v>
      </c>
      <c r="S31">
        <v>41.73</v>
      </c>
    </row>
    <row r="32" spans="1:19" x14ac:dyDescent="0.3">
      <c r="A32" t="s">
        <v>236</v>
      </c>
      <c r="B32">
        <v>357.51299999999998</v>
      </c>
      <c r="C32">
        <v>77.760000000000005</v>
      </c>
      <c r="D32">
        <v>52.887999999999998</v>
      </c>
      <c r="E32">
        <v>0.61199999999999999</v>
      </c>
      <c r="F32">
        <v>83.319000000000003</v>
      </c>
      <c r="G32">
        <v>26.401</v>
      </c>
      <c r="H32">
        <v>141.53700000000001</v>
      </c>
      <c r="I32">
        <v>53.142000000000003</v>
      </c>
      <c r="J32">
        <v>11.766</v>
      </c>
      <c r="K32">
        <v>230.059</v>
      </c>
      <c r="L32">
        <v>17.146000000000001</v>
      </c>
      <c r="M32">
        <v>52.719000000000001</v>
      </c>
      <c r="N32">
        <v>16.917000000000002</v>
      </c>
      <c r="O32">
        <v>0.98499999999999999</v>
      </c>
      <c r="P32">
        <v>0</v>
      </c>
      <c r="Q32">
        <v>66.337000000000003</v>
      </c>
      <c r="R32">
        <v>66.2</v>
      </c>
      <c r="S32">
        <v>41.73</v>
      </c>
    </row>
    <row r="33" spans="1:19" x14ac:dyDescent="0.3">
      <c r="A33" t="s">
        <v>237</v>
      </c>
      <c r="B33">
        <v>358.16399999999999</v>
      </c>
      <c r="C33">
        <v>77.721000000000004</v>
      </c>
      <c r="D33">
        <v>53.026000000000003</v>
      </c>
      <c r="E33">
        <v>0.53</v>
      </c>
      <c r="F33">
        <v>83.923000000000002</v>
      </c>
      <c r="G33">
        <v>26.975999999999999</v>
      </c>
      <c r="H33">
        <v>141.55099999999999</v>
      </c>
      <c r="I33">
        <v>53.093000000000004</v>
      </c>
      <c r="J33">
        <v>11.773999999999999</v>
      </c>
      <c r="K33">
        <v>230.404</v>
      </c>
      <c r="L33">
        <v>17.167000000000002</v>
      </c>
      <c r="M33">
        <v>52.69</v>
      </c>
      <c r="N33">
        <v>16.920999999999999</v>
      </c>
      <c r="O33">
        <v>0.995</v>
      </c>
      <c r="P33">
        <v>0</v>
      </c>
      <c r="Q33">
        <v>66.337999999999994</v>
      </c>
      <c r="R33">
        <v>66.2</v>
      </c>
      <c r="S33">
        <v>41.73</v>
      </c>
    </row>
    <row r="34" spans="1:19" x14ac:dyDescent="0.3">
      <c r="A34" t="s">
        <v>238</v>
      </c>
      <c r="B34">
        <v>358.07400000000001</v>
      </c>
      <c r="C34">
        <v>77.872</v>
      </c>
      <c r="D34">
        <v>53.082000000000001</v>
      </c>
      <c r="E34">
        <v>0.61899999999999999</v>
      </c>
      <c r="F34">
        <v>84.426000000000002</v>
      </c>
      <c r="G34">
        <v>27.204000000000001</v>
      </c>
      <c r="H34">
        <v>141.70699999999999</v>
      </c>
      <c r="I34">
        <v>52.853999999999999</v>
      </c>
      <c r="J34">
        <v>11.765000000000001</v>
      </c>
      <c r="K34">
        <v>230.125</v>
      </c>
      <c r="L34">
        <v>17.148</v>
      </c>
      <c r="M34">
        <v>52.725000000000001</v>
      </c>
      <c r="N34">
        <v>16.920999999999999</v>
      </c>
      <c r="O34">
        <v>1.008</v>
      </c>
      <c r="P34">
        <v>0</v>
      </c>
      <c r="Q34">
        <v>66.341999999999999</v>
      </c>
      <c r="R34">
        <v>66.2</v>
      </c>
      <c r="S34">
        <v>41.73</v>
      </c>
    </row>
    <row r="35" spans="1:19" ht="15" thickBot="1" x14ac:dyDescent="0.35">
      <c r="A35" t="s">
        <v>239</v>
      </c>
      <c r="B35">
        <v>358.15699999999998</v>
      </c>
      <c r="C35">
        <v>78.003</v>
      </c>
      <c r="D35">
        <v>53.173999999999999</v>
      </c>
      <c r="E35">
        <v>0.55500000000000005</v>
      </c>
      <c r="F35">
        <v>82.263999999999996</v>
      </c>
      <c r="G35">
        <v>26.835000000000001</v>
      </c>
      <c r="H35">
        <v>141.64400000000001</v>
      </c>
      <c r="I35">
        <v>52.710999999999999</v>
      </c>
      <c r="J35">
        <v>11.773999999999999</v>
      </c>
      <c r="K35">
        <v>230.37200000000001</v>
      </c>
      <c r="L35">
        <v>17.16</v>
      </c>
      <c r="M35">
        <v>52.798000000000002</v>
      </c>
      <c r="N35">
        <v>16.916</v>
      </c>
      <c r="O35">
        <v>1.008</v>
      </c>
      <c r="P35">
        <v>0</v>
      </c>
      <c r="Q35">
        <v>66.337999999999994</v>
      </c>
      <c r="R35">
        <v>66.2</v>
      </c>
      <c r="S35">
        <v>41.73</v>
      </c>
    </row>
    <row r="36" spans="1:19" ht="15" thickBot="1" x14ac:dyDescent="0.35">
      <c r="A36" t="s">
        <v>30</v>
      </c>
      <c r="B36" s="1">
        <f>AVERAGE(B6:B35)</f>
        <v>355.53550000000007</v>
      </c>
      <c r="C36" s="1">
        <f>AVERAGE(C6:C35)</f>
        <v>77.473666666666659</v>
      </c>
      <c r="D36" s="1">
        <f t="shared" ref="D36:S36" si="0">AVERAGE(D6:D35)</f>
        <v>53.254566666666662</v>
      </c>
      <c r="E36" s="10">
        <f t="shared" si="0"/>
        <v>0.58166666666666667</v>
      </c>
      <c r="F36" s="1">
        <f t="shared" si="0"/>
        <v>83.393133333333338</v>
      </c>
      <c r="G36" s="1">
        <f t="shared" si="0"/>
        <v>24.514999999999993</v>
      </c>
      <c r="H36" s="10">
        <f t="shared" si="0"/>
        <v>140.96133333333333</v>
      </c>
      <c r="I36" s="1">
        <f t="shared" si="0"/>
        <v>52.90976666666667</v>
      </c>
      <c r="J36" s="8">
        <f t="shared" si="0"/>
        <v>11.770066666666668</v>
      </c>
      <c r="K36" s="1">
        <f t="shared" si="0"/>
        <v>230.32000000000005</v>
      </c>
      <c r="L36" s="1">
        <f t="shared" si="0"/>
        <v>17.153533333333332</v>
      </c>
      <c r="M36" s="1">
        <f t="shared" si="0"/>
        <v>52.686533333333337</v>
      </c>
      <c r="N36" s="1">
        <f t="shared" si="0"/>
        <v>16.915899999999993</v>
      </c>
      <c r="O36" s="1">
        <f t="shared" si="0"/>
        <v>1.0082666666666666</v>
      </c>
      <c r="P36" s="1">
        <f t="shared" si="0"/>
        <v>0</v>
      </c>
      <c r="Q36" s="1">
        <f t="shared" si="0"/>
        <v>66.228699999999989</v>
      </c>
      <c r="R36" s="1">
        <f t="shared" si="0"/>
        <v>66.113333333333316</v>
      </c>
      <c r="S36" s="1">
        <f t="shared" si="0"/>
        <v>41.730000000000011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2F26-6E89-4E4E-A88E-D6740FE70C9B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0.60324074074074074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3.3723030782563423</v>
      </c>
      <c r="M2" s="8">
        <f>100*(R36/(R36+Q36))</f>
        <v>50.060622426802446</v>
      </c>
      <c r="O2" s="9">
        <f>100*((E36*C2)/((E36*C2)+(K2*E2)))</f>
        <v>15.142310842299306</v>
      </c>
      <c r="Q2" s="10">
        <f>100*J36*(1/(((C2/3.6)*E36)+((E2/3.6)*K2)))</f>
        <v>24.929813125340186</v>
      </c>
      <c r="S2" s="6">
        <v>3.54</v>
      </c>
      <c r="U2" s="10">
        <f>100*((((G36*0.001*60)*(C36-D36)*(S2/3.6)))/(((C2/3.6)*E36)+((E2/3.6)*K2)))</f>
        <v>123.94644649845669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240</v>
      </c>
      <c r="B6">
        <v>399.86500000000001</v>
      </c>
      <c r="C6">
        <v>79.924999999999997</v>
      </c>
      <c r="D6">
        <v>57.753</v>
      </c>
      <c r="E6">
        <v>0.67500000000000004</v>
      </c>
      <c r="F6">
        <v>85.953000000000003</v>
      </c>
      <c r="G6">
        <v>41.805999999999997</v>
      </c>
      <c r="H6">
        <v>156.08600000000001</v>
      </c>
      <c r="I6">
        <v>53.191000000000003</v>
      </c>
      <c r="J6">
        <v>13.763999999999999</v>
      </c>
      <c r="K6">
        <v>229.94399999999999</v>
      </c>
      <c r="L6">
        <v>20.024000000000001</v>
      </c>
      <c r="M6">
        <v>52.497999999999998</v>
      </c>
      <c r="N6">
        <v>19.792000000000002</v>
      </c>
      <c r="O6">
        <v>1.0349999999999999</v>
      </c>
      <c r="P6">
        <v>0</v>
      </c>
      <c r="Q6">
        <v>72.097999999999999</v>
      </c>
      <c r="R6">
        <v>73.099999999999994</v>
      </c>
      <c r="S6">
        <v>52.73</v>
      </c>
    </row>
    <row r="7" spans="1:21" x14ac:dyDescent="0.3">
      <c r="A7" t="s">
        <v>241</v>
      </c>
      <c r="B7">
        <v>399.721</v>
      </c>
      <c r="C7">
        <v>80.063000000000002</v>
      </c>
      <c r="D7">
        <v>57.792999999999999</v>
      </c>
      <c r="E7">
        <v>0.70199999999999996</v>
      </c>
      <c r="F7">
        <v>85.578999999999994</v>
      </c>
      <c r="G7">
        <v>42.182000000000002</v>
      </c>
      <c r="H7">
        <v>156.37899999999999</v>
      </c>
      <c r="I7">
        <v>53.31</v>
      </c>
      <c r="J7">
        <v>13.760999999999999</v>
      </c>
      <c r="K7">
        <v>230.35499999999999</v>
      </c>
      <c r="L7">
        <v>20.033000000000001</v>
      </c>
      <c r="M7">
        <v>52.408000000000001</v>
      </c>
      <c r="N7">
        <v>19.791</v>
      </c>
      <c r="O7">
        <v>1.016</v>
      </c>
      <c r="P7">
        <v>0</v>
      </c>
      <c r="Q7">
        <v>72.213999999999999</v>
      </c>
      <c r="R7">
        <v>73.099999999999994</v>
      </c>
      <c r="S7">
        <v>52.73</v>
      </c>
    </row>
    <row r="8" spans="1:21" x14ac:dyDescent="0.3">
      <c r="A8" t="s">
        <v>242</v>
      </c>
      <c r="B8">
        <v>400.75799999999998</v>
      </c>
      <c r="C8">
        <v>80.033000000000001</v>
      </c>
      <c r="D8">
        <v>57.847999999999999</v>
      </c>
      <c r="E8">
        <v>0.64500000000000002</v>
      </c>
      <c r="F8">
        <v>85.906999999999996</v>
      </c>
      <c r="G8">
        <v>42.453000000000003</v>
      </c>
      <c r="H8">
        <v>156.53700000000001</v>
      </c>
      <c r="I8">
        <v>53.343000000000004</v>
      </c>
      <c r="J8">
        <v>13.757999999999999</v>
      </c>
      <c r="K8">
        <v>229.977</v>
      </c>
      <c r="L8">
        <v>20.010000000000002</v>
      </c>
      <c r="M8">
        <v>52.317</v>
      </c>
      <c r="N8">
        <v>19.791</v>
      </c>
      <c r="O8">
        <v>1.02</v>
      </c>
      <c r="P8">
        <v>0</v>
      </c>
      <c r="Q8">
        <v>72.304000000000002</v>
      </c>
      <c r="R8">
        <v>73.099999999999994</v>
      </c>
      <c r="S8">
        <v>52.73</v>
      </c>
    </row>
    <row r="9" spans="1:21" x14ac:dyDescent="0.3">
      <c r="A9" t="s">
        <v>243</v>
      </c>
      <c r="B9">
        <v>399.94200000000001</v>
      </c>
      <c r="C9">
        <v>80.046999999999997</v>
      </c>
      <c r="D9">
        <v>57.99</v>
      </c>
      <c r="E9">
        <v>0.68200000000000005</v>
      </c>
      <c r="F9">
        <v>86.233000000000004</v>
      </c>
      <c r="G9">
        <v>42.253999999999998</v>
      </c>
      <c r="H9">
        <v>156.66499999999999</v>
      </c>
      <c r="I9">
        <v>53.046999999999997</v>
      </c>
      <c r="J9">
        <v>13.762</v>
      </c>
      <c r="K9">
        <v>230.059</v>
      </c>
      <c r="L9">
        <v>20.016999999999999</v>
      </c>
      <c r="M9">
        <v>52.451000000000001</v>
      </c>
      <c r="N9">
        <v>19.794</v>
      </c>
      <c r="O9">
        <v>1.024</v>
      </c>
      <c r="P9">
        <v>0</v>
      </c>
      <c r="Q9">
        <v>72.370999999999995</v>
      </c>
      <c r="R9">
        <v>73.099999999999994</v>
      </c>
      <c r="S9">
        <v>52.73</v>
      </c>
    </row>
    <row r="10" spans="1:21" x14ac:dyDescent="0.3">
      <c r="A10" t="s">
        <v>244</v>
      </c>
      <c r="B10">
        <v>400.524</v>
      </c>
      <c r="C10">
        <v>80.037000000000006</v>
      </c>
      <c r="D10">
        <v>57.996000000000002</v>
      </c>
      <c r="E10">
        <v>0.754</v>
      </c>
      <c r="F10">
        <v>85.341999999999999</v>
      </c>
      <c r="G10">
        <v>42.758000000000003</v>
      </c>
      <c r="H10">
        <v>156.66300000000001</v>
      </c>
      <c r="I10">
        <v>53.392000000000003</v>
      </c>
      <c r="J10">
        <v>13.759</v>
      </c>
      <c r="K10">
        <v>229.977</v>
      </c>
      <c r="L10">
        <v>20.009</v>
      </c>
      <c r="M10">
        <v>52.307000000000002</v>
      </c>
      <c r="N10">
        <v>19.795999999999999</v>
      </c>
      <c r="O10">
        <v>1.0309999999999999</v>
      </c>
      <c r="P10">
        <v>0</v>
      </c>
      <c r="Q10">
        <v>72.457999999999998</v>
      </c>
      <c r="R10">
        <v>73.2</v>
      </c>
      <c r="S10">
        <v>52.73</v>
      </c>
    </row>
    <row r="11" spans="1:21" x14ac:dyDescent="0.3">
      <c r="A11" t="s">
        <v>245</v>
      </c>
      <c r="B11">
        <v>400.74900000000002</v>
      </c>
      <c r="C11">
        <v>80.194000000000003</v>
      </c>
      <c r="D11">
        <v>58.072000000000003</v>
      </c>
      <c r="E11">
        <v>0.63900000000000001</v>
      </c>
      <c r="F11">
        <v>86.284999999999997</v>
      </c>
      <c r="G11">
        <v>43.033999999999999</v>
      </c>
      <c r="H11">
        <v>156.745</v>
      </c>
      <c r="I11">
        <v>53.375999999999998</v>
      </c>
      <c r="J11">
        <v>13.763</v>
      </c>
      <c r="K11">
        <v>230.339</v>
      </c>
      <c r="L11">
        <v>20.038</v>
      </c>
      <c r="M11">
        <v>52.356999999999999</v>
      </c>
      <c r="N11">
        <v>19.797999999999998</v>
      </c>
      <c r="O11">
        <v>1.0349999999999999</v>
      </c>
      <c r="P11">
        <v>0</v>
      </c>
      <c r="Q11">
        <v>72.546000000000006</v>
      </c>
      <c r="R11">
        <v>73.099999999999994</v>
      </c>
      <c r="S11">
        <v>52.73</v>
      </c>
    </row>
    <row r="12" spans="1:21" x14ac:dyDescent="0.3">
      <c r="A12" t="s">
        <v>246</v>
      </c>
      <c r="B12">
        <v>401.84100000000001</v>
      </c>
      <c r="C12">
        <v>80.102000000000004</v>
      </c>
      <c r="D12">
        <v>58.2</v>
      </c>
      <c r="E12">
        <v>0.68300000000000005</v>
      </c>
      <c r="F12">
        <v>85.052999999999997</v>
      </c>
      <c r="G12">
        <v>43.107999999999997</v>
      </c>
      <c r="H12">
        <v>156.892</v>
      </c>
      <c r="I12">
        <v>53.363999999999997</v>
      </c>
      <c r="J12">
        <v>13.753</v>
      </c>
      <c r="K12">
        <v>230.09200000000001</v>
      </c>
      <c r="L12">
        <v>20.036000000000001</v>
      </c>
      <c r="M12">
        <v>52.436999999999998</v>
      </c>
      <c r="N12">
        <v>19.779</v>
      </c>
      <c r="O12">
        <v>1.0309999999999999</v>
      </c>
      <c r="P12">
        <v>0</v>
      </c>
      <c r="Q12">
        <v>72.617000000000004</v>
      </c>
      <c r="R12">
        <v>73.099999999999994</v>
      </c>
      <c r="S12">
        <v>52.73</v>
      </c>
    </row>
    <row r="13" spans="1:21" x14ac:dyDescent="0.3">
      <c r="A13" t="s">
        <v>247</v>
      </c>
      <c r="B13">
        <v>402.48500000000001</v>
      </c>
      <c r="C13">
        <v>80.135000000000005</v>
      </c>
      <c r="D13">
        <v>58.302</v>
      </c>
      <c r="E13">
        <v>0.75600000000000001</v>
      </c>
      <c r="F13">
        <v>85.825000000000003</v>
      </c>
      <c r="G13">
        <v>42.865000000000002</v>
      </c>
      <c r="H13">
        <v>157.017</v>
      </c>
      <c r="I13">
        <v>53.384</v>
      </c>
      <c r="J13">
        <v>13.773</v>
      </c>
      <c r="K13">
        <v>230.322</v>
      </c>
      <c r="L13">
        <v>20.074999999999999</v>
      </c>
      <c r="M13">
        <v>52.531999999999996</v>
      </c>
      <c r="N13">
        <v>19.809000000000001</v>
      </c>
      <c r="O13">
        <v>1.034</v>
      </c>
      <c r="P13">
        <v>0</v>
      </c>
      <c r="Q13">
        <v>72.67</v>
      </c>
      <c r="R13">
        <v>73.099999999999994</v>
      </c>
      <c r="S13">
        <v>52.73</v>
      </c>
    </row>
    <row r="14" spans="1:21" x14ac:dyDescent="0.3">
      <c r="A14" t="s">
        <v>248</v>
      </c>
      <c r="B14">
        <v>401.45800000000003</v>
      </c>
      <c r="C14">
        <v>80.125</v>
      </c>
      <c r="D14">
        <v>58.271999999999998</v>
      </c>
      <c r="E14">
        <v>0.72799999999999998</v>
      </c>
      <c r="F14">
        <v>85.52</v>
      </c>
      <c r="G14">
        <v>43.54</v>
      </c>
      <c r="H14">
        <v>156.87700000000001</v>
      </c>
      <c r="I14">
        <v>53.392000000000003</v>
      </c>
      <c r="J14">
        <v>13.757</v>
      </c>
      <c r="K14">
        <v>230.059</v>
      </c>
      <c r="L14">
        <v>20.07</v>
      </c>
      <c r="M14">
        <v>52.393999999999998</v>
      </c>
      <c r="N14">
        <v>19.786000000000001</v>
      </c>
      <c r="O14">
        <v>1.032</v>
      </c>
      <c r="P14">
        <v>0</v>
      </c>
      <c r="Q14">
        <v>72.710999999999999</v>
      </c>
      <c r="R14">
        <v>73</v>
      </c>
      <c r="S14">
        <v>52.73</v>
      </c>
    </row>
    <row r="15" spans="1:21" x14ac:dyDescent="0.3">
      <c r="A15" t="s">
        <v>249</v>
      </c>
      <c r="B15">
        <v>402.05200000000002</v>
      </c>
      <c r="C15">
        <v>80.227000000000004</v>
      </c>
      <c r="D15">
        <v>52.316000000000003</v>
      </c>
      <c r="E15">
        <v>0.72799999999999998</v>
      </c>
      <c r="F15">
        <v>85.956999999999994</v>
      </c>
      <c r="G15">
        <v>43.573</v>
      </c>
      <c r="H15">
        <v>157.09800000000001</v>
      </c>
      <c r="I15">
        <v>53.354999999999997</v>
      </c>
      <c r="J15">
        <v>13.769</v>
      </c>
      <c r="K15">
        <v>230.322</v>
      </c>
      <c r="L15">
        <v>20.084</v>
      </c>
      <c r="M15">
        <v>52.343000000000004</v>
      </c>
      <c r="N15">
        <v>19.794</v>
      </c>
      <c r="O15">
        <v>1.0289999999999999</v>
      </c>
      <c r="P15">
        <v>0</v>
      </c>
      <c r="Q15">
        <v>72.759</v>
      </c>
      <c r="R15">
        <v>73.099999999999994</v>
      </c>
      <c r="S15">
        <v>52.73</v>
      </c>
    </row>
    <row r="16" spans="1:21" x14ac:dyDescent="0.3">
      <c r="A16" t="s">
        <v>250</v>
      </c>
      <c r="B16">
        <v>401.52600000000001</v>
      </c>
      <c r="C16">
        <v>80.171000000000006</v>
      </c>
      <c r="D16">
        <v>52.398000000000003</v>
      </c>
      <c r="E16">
        <v>0.63300000000000001</v>
      </c>
      <c r="F16">
        <v>86.492000000000004</v>
      </c>
      <c r="G16">
        <v>43.826000000000001</v>
      </c>
      <c r="H16">
        <v>157.054</v>
      </c>
      <c r="I16">
        <v>53.273000000000003</v>
      </c>
      <c r="J16">
        <v>13.952</v>
      </c>
      <c r="K16">
        <v>230.601</v>
      </c>
      <c r="L16">
        <v>20.382000000000001</v>
      </c>
      <c r="M16">
        <v>52.234000000000002</v>
      </c>
      <c r="N16">
        <v>20.135000000000002</v>
      </c>
      <c r="O16">
        <v>1.0249999999999999</v>
      </c>
      <c r="P16">
        <v>0</v>
      </c>
      <c r="Q16">
        <v>72.792000000000002</v>
      </c>
      <c r="R16">
        <v>73.099999999999994</v>
      </c>
      <c r="S16">
        <v>52.73</v>
      </c>
    </row>
    <row r="17" spans="1:19" x14ac:dyDescent="0.3">
      <c r="A17" t="s">
        <v>251</v>
      </c>
      <c r="B17">
        <v>402.85500000000002</v>
      </c>
      <c r="C17">
        <v>80.200999999999993</v>
      </c>
      <c r="D17">
        <v>52.402000000000001</v>
      </c>
      <c r="E17">
        <v>0.74299999999999999</v>
      </c>
      <c r="F17">
        <v>86.251999999999995</v>
      </c>
      <c r="G17">
        <v>44.231999999999999</v>
      </c>
      <c r="H17">
        <v>157.17400000000001</v>
      </c>
      <c r="I17">
        <v>53.191000000000003</v>
      </c>
      <c r="J17">
        <v>13.768000000000001</v>
      </c>
      <c r="K17">
        <v>230.28899999999999</v>
      </c>
      <c r="L17">
        <v>20.084</v>
      </c>
      <c r="M17">
        <v>52.515999999999998</v>
      </c>
      <c r="N17">
        <v>19.802</v>
      </c>
      <c r="O17">
        <v>1.032</v>
      </c>
      <c r="P17">
        <v>0</v>
      </c>
      <c r="Q17">
        <v>72.861000000000004</v>
      </c>
      <c r="R17">
        <v>73</v>
      </c>
      <c r="S17">
        <v>52.73</v>
      </c>
    </row>
    <row r="18" spans="1:19" x14ac:dyDescent="0.3">
      <c r="A18" t="s">
        <v>252</v>
      </c>
      <c r="B18">
        <v>404.327</v>
      </c>
      <c r="C18">
        <v>80.216999999999999</v>
      </c>
      <c r="D18">
        <v>52.548999999999999</v>
      </c>
      <c r="E18">
        <v>0.71499999999999997</v>
      </c>
      <c r="F18">
        <v>86.242999999999995</v>
      </c>
      <c r="G18">
        <v>44.494</v>
      </c>
      <c r="H18">
        <v>157.30500000000001</v>
      </c>
      <c r="I18">
        <v>53.183</v>
      </c>
      <c r="J18">
        <v>13.755000000000001</v>
      </c>
      <c r="K18">
        <v>230.142</v>
      </c>
      <c r="L18">
        <v>20.102</v>
      </c>
      <c r="M18">
        <v>52.454999999999998</v>
      </c>
      <c r="N18">
        <v>19.771000000000001</v>
      </c>
      <c r="O18">
        <v>1.0329999999999999</v>
      </c>
      <c r="P18">
        <v>0</v>
      </c>
      <c r="Q18">
        <v>72.906999999999996</v>
      </c>
      <c r="R18">
        <v>73.099999999999994</v>
      </c>
      <c r="S18">
        <v>52.73</v>
      </c>
    </row>
    <row r="19" spans="1:19" x14ac:dyDescent="0.3">
      <c r="A19" t="s">
        <v>253</v>
      </c>
      <c r="B19">
        <v>403.79700000000003</v>
      </c>
      <c r="C19">
        <v>80.277000000000001</v>
      </c>
      <c r="D19">
        <v>52.609000000000002</v>
      </c>
      <c r="E19">
        <v>0.70599999999999996</v>
      </c>
      <c r="F19">
        <v>86.334999999999994</v>
      </c>
      <c r="G19">
        <v>44.414000000000001</v>
      </c>
      <c r="H19">
        <v>157.18</v>
      </c>
      <c r="I19">
        <v>53.347000000000001</v>
      </c>
      <c r="J19">
        <v>13.763</v>
      </c>
      <c r="K19">
        <v>229.994</v>
      </c>
      <c r="L19">
        <v>19.855</v>
      </c>
      <c r="M19">
        <v>52.426000000000002</v>
      </c>
      <c r="N19">
        <v>19.797999999999998</v>
      </c>
      <c r="O19">
        <v>1.0229999999999999</v>
      </c>
      <c r="P19">
        <v>0</v>
      </c>
      <c r="Q19">
        <v>72.924999999999997</v>
      </c>
      <c r="R19">
        <v>73</v>
      </c>
      <c r="S19">
        <v>52.73</v>
      </c>
    </row>
    <row r="20" spans="1:19" x14ac:dyDescent="0.3">
      <c r="A20" t="s">
        <v>254</v>
      </c>
      <c r="B20">
        <v>402.459</v>
      </c>
      <c r="C20">
        <v>80.25</v>
      </c>
      <c r="D20">
        <v>52.645000000000003</v>
      </c>
      <c r="E20">
        <v>0.76400000000000001</v>
      </c>
      <c r="F20">
        <v>85.584999999999994</v>
      </c>
      <c r="G20">
        <v>44.825000000000003</v>
      </c>
      <c r="H20">
        <v>157.45599999999999</v>
      </c>
      <c r="I20">
        <v>53.24</v>
      </c>
      <c r="J20">
        <v>13.759</v>
      </c>
      <c r="K20">
        <v>230.24</v>
      </c>
      <c r="L20">
        <v>20.056999999999999</v>
      </c>
      <c r="M20">
        <v>52.341000000000001</v>
      </c>
      <c r="N20">
        <v>19.798999999999999</v>
      </c>
      <c r="O20">
        <v>1.03</v>
      </c>
      <c r="P20">
        <v>0</v>
      </c>
      <c r="Q20">
        <v>72.953000000000003</v>
      </c>
      <c r="R20">
        <v>73</v>
      </c>
      <c r="S20">
        <v>52.73</v>
      </c>
    </row>
    <row r="21" spans="1:19" x14ac:dyDescent="0.3">
      <c r="A21" t="s">
        <v>255</v>
      </c>
      <c r="B21">
        <v>402.57799999999997</v>
      </c>
      <c r="C21">
        <v>80.296000000000006</v>
      </c>
      <c r="D21">
        <v>52.670999999999999</v>
      </c>
      <c r="E21">
        <v>0.66900000000000004</v>
      </c>
      <c r="F21">
        <v>86.643000000000001</v>
      </c>
      <c r="G21">
        <v>45.192999999999998</v>
      </c>
      <c r="H21">
        <v>157.20400000000001</v>
      </c>
      <c r="I21">
        <v>53.317999999999998</v>
      </c>
      <c r="J21">
        <v>13.762</v>
      </c>
      <c r="K21">
        <v>230.10900000000001</v>
      </c>
      <c r="L21">
        <v>20.065999999999999</v>
      </c>
      <c r="M21">
        <v>52.384</v>
      </c>
      <c r="N21">
        <v>19.789000000000001</v>
      </c>
      <c r="O21">
        <v>1.0329999999999999</v>
      </c>
      <c r="P21">
        <v>0</v>
      </c>
      <c r="Q21">
        <v>73.010000000000005</v>
      </c>
      <c r="R21">
        <v>73</v>
      </c>
      <c r="S21">
        <v>52.73</v>
      </c>
    </row>
    <row r="22" spans="1:19" x14ac:dyDescent="0.3">
      <c r="A22" t="s">
        <v>256</v>
      </c>
      <c r="B22">
        <v>403.23899999999998</v>
      </c>
      <c r="C22">
        <v>80.369</v>
      </c>
      <c r="D22">
        <v>52.76</v>
      </c>
      <c r="E22">
        <v>0.61699999999999999</v>
      </c>
      <c r="F22">
        <v>85.786000000000001</v>
      </c>
      <c r="G22">
        <v>45.131999999999998</v>
      </c>
      <c r="H22">
        <v>157.25200000000001</v>
      </c>
      <c r="I22">
        <v>53.482999999999997</v>
      </c>
      <c r="J22">
        <v>13.762</v>
      </c>
      <c r="K22">
        <v>230.38800000000001</v>
      </c>
      <c r="L22">
        <v>20.065999999999999</v>
      </c>
      <c r="M22">
        <v>52.405999999999999</v>
      </c>
      <c r="N22">
        <v>19.792999999999999</v>
      </c>
      <c r="O22">
        <v>1.0229999999999999</v>
      </c>
      <c r="P22">
        <v>0</v>
      </c>
      <c r="Q22">
        <v>73.022000000000006</v>
      </c>
      <c r="R22">
        <v>73</v>
      </c>
      <c r="S22">
        <v>52.73</v>
      </c>
    </row>
    <row r="23" spans="1:19" x14ac:dyDescent="0.3">
      <c r="A23" t="s">
        <v>257</v>
      </c>
      <c r="B23">
        <v>402.68</v>
      </c>
      <c r="C23">
        <v>80.405000000000001</v>
      </c>
      <c r="D23">
        <v>52.76</v>
      </c>
      <c r="E23">
        <v>0.752</v>
      </c>
      <c r="F23">
        <v>87.028000000000006</v>
      </c>
      <c r="G23">
        <v>45.722999999999999</v>
      </c>
      <c r="H23">
        <v>157.30799999999999</v>
      </c>
      <c r="I23">
        <v>53.651000000000003</v>
      </c>
      <c r="J23">
        <v>13.762</v>
      </c>
      <c r="K23">
        <v>230.10900000000001</v>
      </c>
      <c r="L23">
        <v>20.045000000000002</v>
      </c>
      <c r="M23">
        <v>52.408000000000001</v>
      </c>
      <c r="N23">
        <v>19.795999999999999</v>
      </c>
      <c r="O23">
        <v>1.0389999999999999</v>
      </c>
      <c r="P23">
        <v>0</v>
      </c>
      <c r="Q23">
        <v>73.037999999999997</v>
      </c>
      <c r="R23">
        <v>73</v>
      </c>
      <c r="S23">
        <v>52.73</v>
      </c>
    </row>
    <row r="24" spans="1:19" x14ac:dyDescent="0.3">
      <c r="A24" t="s">
        <v>258</v>
      </c>
      <c r="B24">
        <v>403.81900000000002</v>
      </c>
      <c r="C24">
        <v>80.477000000000004</v>
      </c>
      <c r="D24">
        <v>52.756</v>
      </c>
      <c r="E24">
        <v>0.77400000000000002</v>
      </c>
      <c r="F24">
        <v>85.664000000000001</v>
      </c>
      <c r="G24">
        <v>45.292999999999999</v>
      </c>
      <c r="H24">
        <v>157.56100000000001</v>
      </c>
      <c r="I24">
        <v>53.191000000000003</v>
      </c>
      <c r="J24">
        <v>13.766</v>
      </c>
      <c r="K24">
        <v>230.339</v>
      </c>
      <c r="L24">
        <v>20.047999999999998</v>
      </c>
      <c r="M24">
        <v>52.392000000000003</v>
      </c>
      <c r="N24">
        <v>19.792000000000002</v>
      </c>
      <c r="O24">
        <v>1.0249999999999999</v>
      </c>
      <c r="P24">
        <v>0</v>
      </c>
      <c r="Q24">
        <v>73.085999999999999</v>
      </c>
      <c r="R24">
        <v>73</v>
      </c>
      <c r="S24">
        <v>52.73</v>
      </c>
    </row>
    <row r="25" spans="1:19" x14ac:dyDescent="0.3">
      <c r="A25" t="s">
        <v>259</v>
      </c>
      <c r="B25">
        <v>404.10300000000001</v>
      </c>
      <c r="C25">
        <v>80.489999999999995</v>
      </c>
      <c r="D25">
        <v>52.868000000000002</v>
      </c>
      <c r="E25">
        <v>0.67600000000000005</v>
      </c>
      <c r="F25">
        <v>86.317999999999998</v>
      </c>
      <c r="G25">
        <v>45.412999999999997</v>
      </c>
      <c r="H25">
        <v>157.37799999999999</v>
      </c>
      <c r="I25">
        <v>53.543999999999997</v>
      </c>
      <c r="J25">
        <v>13.766</v>
      </c>
      <c r="K25">
        <v>230.15799999999999</v>
      </c>
      <c r="L25">
        <v>20.021000000000001</v>
      </c>
      <c r="M25">
        <v>52.436999999999998</v>
      </c>
      <c r="N25">
        <v>19.792000000000002</v>
      </c>
      <c r="O25">
        <v>1.028</v>
      </c>
      <c r="P25">
        <v>0</v>
      </c>
      <c r="Q25">
        <v>73.078999999999994</v>
      </c>
      <c r="R25">
        <v>73</v>
      </c>
      <c r="S25">
        <v>52.73</v>
      </c>
    </row>
    <row r="26" spans="1:19" x14ac:dyDescent="0.3">
      <c r="A26" t="s">
        <v>260</v>
      </c>
      <c r="B26">
        <v>404.07499999999999</v>
      </c>
      <c r="C26">
        <v>80.522999999999996</v>
      </c>
      <c r="D26">
        <v>52.875</v>
      </c>
      <c r="E26">
        <v>0.61299999999999999</v>
      </c>
      <c r="F26">
        <v>85.870999999999995</v>
      </c>
      <c r="G26">
        <v>45.655999999999999</v>
      </c>
      <c r="H26">
        <v>157.251</v>
      </c>
      <c r="I26">
        <v>53.454000000000001</v>
      </c>
      <c r="J26">
        <v>13.759</v>
      </c>
      <c r="K26">
        <v>230.30600000000001</v>
      </c>
      <c r="L26">
        <v>19.966999999999999</v>
      </c>
      <c r="M26">
        <v>52.311</v>
      </c>
      <c r="N26">
        <v>19.792000000000002</v>
      </c>
      <c r="O26">
        <v>1.0269999999999999</v>
      </c>
      <c r="P26">
        <v>0</v>
      </c>
      <c r="Q26">
        <v>73.122</v>
      </c>
      <c r="R26">
        <v>73</v>
      </c>
      <c r="S26">
        <v>52.73</v>
      </c>
    </row>
    <row r="27" spans="1:19" x14ac:dyDescent="0.3">
      <c r="A27" t="s">
        <v>261</v>
      </c>
      <c r="B27">
        <v>403.58199999999999</v>
      </c>
      <c r="C27">
        <v>80.486999999999995</v>
      </c>
      <c r="D27">
        <v>52.881</v>
      </c>
      <c r="E27">
        <v>0.77100000000000002</v>
      </c>
      <c r="F27">
        <v>86.647000000000006</v>
      </c>
      <c r="G27">
        <v>46.073</v>
      </c>
      <c r="H27">
        <v>157.578</v>
      </c>
      <c r="I27">
        <v>53.396000000000001</v>
      </c>
      <c r="J27">
        <v>13.760999999999999</v>
      </c>
      <c r="K27">
        <v>230.20699999999999</v>
      </c>
      <c r="L27">
        <v>19.956</v>
      </c>
      <c r="M27">
        <v>52.476999999999997</v>
      </c>
      <c r="N27">
        <v>19.777000000000001</v>
      </c>
      <c r="O27">
        <v>1.038</v>
      </c>
      <c r="P27">
        <v>0</v>
      </c>
      <c r="Q27">
        <v>73.123999999999995</v>
      </c>
      <c r="R27">
        <v>73</v>
      </c>
      <c r="S27">
        <v>52.73</v>
      </c>
    </row>
    <row r="28" spans="1:19" x14ac:dyDescent="0.3">
      <c r="A28" t="s">
        <v>262</v>
      </c>
      <c r="B28">
        <v>404.23899999999998</v>
      </c>
      <c r="C28">
        <v>80.650999999999996</v>
      </c>
      <c r="D28">
        <v>53.015999999999998</v>
      </c>
      <c r="E28">
        <v>0.77200000000000002</v>
      </c>
      <c r="F28">
        <v>86.459000000000003</v>
      </c>
      <c r="G28">
        <v>45.841000000000001</v>
      </c>
      <c r="H28">
        <v>157.45599999999999</v>
      </c>
      <c r="I28">
        <v>53.249000000000002</v>
      </c>
      <c r="J28">
        <v>13.766</v>
      </c>
      <c r="K28">
        <v>230.191</v>
      </c>
      <c r="L28">
        <v>19.948</v>
      </c>
      <c r="M28">
        <v>52.386000000000003</v>
      </c>
      <c r="N28">
        <v>19.792000000000002</v>
      </c>
      <c r="O28">
        <v>1.03</v>
      </c>
      <c r="P28">
        <v>0</v>
      </c>
      <c r="Q28">
        <v>73.122</v>
      </c>
      <c r="R28">
        <v>73.099999999999994</v>
      </c>
      <c r="S28">
        <v>52.73</v>
      </c>
    </row>
    <row r="29" spans="1:19" x14ac:dyDescent="0.3">
      <c r="A29" t="s">
        <v>263</v>
      </c>
      <c r="B29">
        <v>404.84899999999999</v>
      </c>
      <c r="C29">
        <v>80.611999999999995</v>
      </c>
      <c r="D29">
        <v>53.006</v>
      </c>
      <c r="E29">
        <v>0.72399999999999998</v>
      </c>
      <c r="F29">
        <v>87.207999999999998</v>
      </c>
      <c r="G29">
        <v>46.716999999999999</v>
      </c>
      <c r="H29">
        <v>157.364</v>
      </c>
      <c r="I29">
        <v>53.207999999999998</v>
      </c>
      <c r="J29">
        <v>13.757999999999999</v>
      </c>
      <c r="K29">
        <v>229.977</v>
      </c>
      <c r="L29">
        <v>19.952000000000002</v>
      </c>
      <c r="M29">
        <v>52.508000000000003</v>
      </c>
      <c r="N29">
        <v>19.788</v>
      </c>
      <c r="O29">
        <v>1.0409999999999999</v>
      </c>
      <c r="P29">
        <v>0</v>
      </c>
      <c r="Q29">
        <v>73.129000000000005</v>
      </c>
      <c r="R29">
        <v>73</v>
      </c>
      <c r="S29">
        <v>52.73</v>
      </c>
    </row>
    <row r="30" spans="1:19" x14ac:dyDescent="0.3">
      <c r="A30" t="s">
        <v>264</v>
      </c>
      <c r="B30">
        <v>405.779</v>
      </c>
      <c r="C30">
        <v>80.650999999999996</v>
      </c>
      <c r="D30">
        <v>53.082000000000001</v>
      </c>
      <c r="E30">
        <v>0.72199999999999998</v>
      </c>
      <c r="F30">
        <v>86.673000000000002</v>
      </c>
      <c r="G30">
        <v>46.488999999999997</v>
      </c>
      <c r="H30">
        <v>157.57300000000001</v>
      </c>
      <c r="I30">
        <v>53.29</v>
      </c>
      <c r="J30">
        <v>13.763999999999999</v>
      </c>
      <c r="K30">
        <v>230.30600000000001</v>
      </c>
      <c r="L30">
        <v>19.966000000000001</v>
      </c>
      <c r="M30">
        <v>52.348999999999997</v>
      </c>
      <c r="N30">
        <v>19.785</v>
      </c>
      <c r="O30">
        <v>1.0209999999999999</v>
      </c>
      <c r="P30">
        <v>0</v>
      </c>
      <c r="Q30">
        <v>73.141000000000005</v>
      </c>
      <c r="R30">
        <v>73</v>
      </c>
      <c r="S30">
        <v>52.73</v>
      </c>
    </row>
    <row r="31" spans="1:19" x14ac:dyDescent="0.3">
      <c r="A31" t="s">
        <v>265</v>
      </c>
      <c r="B31">
        <v>404.07100000000003</v>
      </c>
      <c r="C31">
        <v>80.641000000000005</v>
      </c>
      <c r="D31">
        <v>53.097999999999999</v>
      </c>
      <c r="E31">
        <v>0.62</v>
      </c>
      <c r="F31">
        <v>86.977999999999994</v>
      </c>
      <c r="G31">
        <v>46.811999999999998</v>
      </c>
      <c r="H31">
        <v>157.69800000000001</v>
      </c>
      <c r="I31">
        <v>53.31</v>
      </c>
      <c r="J31">
        <v>13.763</v>
      </c>
      <c r="K31">
        <v>229.977</v>
      </c>
      <c r="L31">
        <v>19.952000000000002</v>
      </c>
      <c r="M31">
        <v>52.381999999999998</v>
      </c>
      <c r="N31">
        <v>19.789000000000001</v>
      </c>
      <c r="O31">
        <v>1.03</v>
      </c>
      <c r="P31">
        <v>0</v>
      </c>
      <c r="Q31">
        <v>73.150000000000006</v>
      </c>
      <c r="R31">
        <v>73</v>
      </c>
      <c r="S31">
        <v>52.73</v>
      </c>
    </row>
    <row r="32" spans="1:19" x14ac:dyDescent="0.3">
      <c r="A32" t="s">
        <v>266</v>
      </c>
      <c r="B32">
        <v>404.65699999999998</v>
      </c>
      <c r="C32">
        <v>80.644999999999996</v>
      </c>
      <c r="D32">
        <v>53.134</v>
      </c>
      <c r="E32">
        <v>0.75</v>
      </c>
      <c r="F32">
        <v>86.718999999999994</v>
      </c>
      <c r="G32">
        <v>46.878</v>
      </c>
      <c r="H32">
        <v>157.63300000000001</v>
      </c>
      <c r="I32">
        <v>53.326999999999998</v>
      </c>
      <c r="J32">
        <v>13.766999999999999</v>
      </c>
      <c r="K32">
        <v>230.30600000000001</v>
      </c>
      <c r="L32">
        <v>19.968</v>
      </c>
      <c r="M32">
        <v>52.497</v>
      </c>
      <c r="N32">
        <v>19.795999999999999</v>
      </c>
      <c r="O32">
        <v>1.038</v>
      </c>
      <c r="P32">
        <v>0</v>
      </c>
      <c r="Q32">
        <v>73.159000000000006</v>
      </c>
      <c r="R32">
        <v>73</v>
      </c>
      <c r="S32">
        <v>52.73</v>
      </c>
    </row>
    <row r="33" spans="1:19" x14ac:dyDescent="0.3">
      <c r="A33" t="s">
        <v>267</v>
      </c>
      <c r="B33">
        <v>405.346</v>
      </c>
      <c r="C33">
        <v>80.7</v>
      </c>
      <c r="D33">
        <v>53.289000000000001</v>
      </c>
      <c r="E33">
        <v>0.755</v>
      </c>
      <c r="F33">
        <v>86.834000000000003</v>
      </c>
      <c r="G33">
        <v>47.128</v>
      </c>
      <c r="H33">
        <v>157.749</v>
      </c>
      <c r="I33">
        <v>53.354999999999997</v>
      </c>
      <c r="J33">
        <v>13.762</v>
      </c>
      <c r="K33">
        <v>229.96100000000001</v>
      </c>
      <c r="L33">
        <v>19.952999999999999</v>
      </c>
      <c r="M33">
        <v>52.362000000000002</v>
      </c>
      <c r="N33">
        <v>19.792000000000002</v>
      </c>
      <c r="O33">
        <v>1.052</v>
      </c>
      <c r="P33">
        <v>0</v>
      </c>
      <c r="Q33">
        <v>73.173000000000002</v>
      </c>
      <c r="R33">
        <v>72.900000000000006</v>
      </c>
      <c r="S33">
        <v>52.73</v>
      </c>
    </row>
    <row r="34" spans="1:19" x14ac:dyDescent="0.3">
      <c r="A34" t="s">
        <v>268</v>
      </c>
      <c r="B34">
        <v>404.70499999999998</v>
      </c>
      <c r="C34">
        <v>80.745999999999995</v>
      </c>
      <c r="D34">
        <v>53.21</v>
      </c>
      <c r="E34">
        <v>0.68799999999999994</v>
      </c>
      <c r="F34">
        <v>85.233999999999995</v>
      </c>
      <c r="G34">
        <v>46.572000000000003</v>
      </c>
      <c r="H34">
        <v>157.678</v>
      </c>
      <c r="I34">
        <v>53.424999999999997</v>
      </c>
      <c r="J34">
        <v>13.765000000000001</v>
      </c>
      <c r="K34">
        <v>230.30600000000001</v>
      </c>
      <c r="L34">
        <v>19.975999999999999</v>
      </c>
      <c r="M34">
        <v>52.402000000000001</v>
      </c>
      <c r="N34">
        <v>19.786999999999999</v>
      </c>
      <c r="O34">
        <v>1.0329999999999999</v>
      </c>
      <c r="P34">
        <v>0</v>
      </c>
      <c r="Q34">
        <v>73.186999999999998</v>
      </c>
      <c r="R34">
        <v>73</v>
      </c>
      <c r="S34">
        <v>52.73</v>
      </c>
    </row>
    <row r="35" spans="1:19" ht="15" thickBot="1" x14ac:dyDescent="0.35">
      <c r="A35" t="s">
        <v>269</v>
      </c>
      <c r="B35">
        <v>404.84100000000001</v>
      </c>
      <c r="C35">
        <v>80.753</v>
      </c>
      <c r="D35">
        <v>53.238999999999997</v>
      </c>
      <c r="E35">
        <v>0.69599999999999995</v>
      </c>
      <c r="F35">
        <v>86.903000000000006</v>
      </c>
      <c r="G35">
        <v>46.750999999999998</v>
      </c>
      <c r="H35">
        <v>157.696</v>
      </c>
      <c r="I35">
        <v>53.466000000000001</v>
      </c>
      <c r="J35">
        <v>13.752000000000001</v>
      </c>
      <c r="K35">
        <v>229.91200000000001</v>
      </c>
      <c r="L35">
        <v>19.952000000000002</v>
      </c>
      <c r="M35">
        <v>52.292999999999999</v>
      </c>
      <c r="N35">
        <v>19.783999999999999</v>
      </c>
      <c r="O35">
        <v>1.0389999999999999</v>
      </c>
      <c r="P35">
        <v>0</v>
      </c>
      <c r="Q35">
        <v>73.165000000000006</v>
      </c>
      <c r="R35">
        <v>73</v>
      </c>
      <c r="S35">
        <v>52.73</v>
      </c>
    </row>
    <row r="36" spans="1:19" ht="15" thickBot="1" x14ac:dyDescent="0.35">
      <c r="A36" t="s">
        <v>30</v>
      </c>
      <c r="B36" s="1">
        <f>AVERAGE(B6:B35)</f>
        <v>402.8974</v>
      </c>
      <c r="C36" s="1">
        <f>AVERAGE(C6:C35)</f>
        <v>80.348333333333343</v>
      </c>
      <c r="D36" s="1">
        <f t="shared" ref="D36:S36" si="0">AVERAGE(D6:D35)</f>
        <v>54.393000000000015</v>
      </c>
      <c r="E36" s="10">
        <f t="shared" si="0"/>
        <v>0.70506666666666673</v>
      </c>
      <c r="F36" s="1">
        <f t="shared" si="0"/>
        <v>86.18419999999999</v>
      </c>
      <c r="G36" s="1">
        <f t="shared" si="0"/>
        <v>44.701166666666651</v>
      </c>
      <c r="H36" s="10">
        <f t="shared" si="0"/>
        <v>157.18356666666668</v>
      </c>
      <c r="I36" s="1">
        <f t="shared" si="0"/>
        <v>53.335166666666659</v>
      </c>
      <c r="J36" s="8">
        <f t="shared" si="0"/>
        <v>13.768366666666669</v>
      </c>
      <c r="K36" s="1">
        <f t="shared" si="0"/>
        <v>230.17546666666664</v>
      </c>
      <c r="L36" s="1">
        <f t="shared" si="0"/>
        <v>20.023733333333332</v>
      </c>
      <c r="M36" s="1">
        <f t="shared" si="0"/>
        <v>52.400333333333343</v>
      </c>
      <c r="N36" s="1">
        <f t="shared" si="0"/>
        <v>19.80263333333334</v>
      </c>
      <c r="O36" s="1">
        <f t="shared" si="0"/>
        <v>1.0309000000000001</v>
      </c>
      <c r="P36" s="1">
        <f t="shared" si="0"/>
        <v>0</v>
      </c>
      <c r="Q36" s="1">
        <f t="shared" si="0"/>
        <v>72.863100000000017</v>
      </c>
      <c r="R36" s="1">
        <f t="shared" si="0"/>
        <v>73.039999999999992</v>
      </c>
      <c r="S36" s="1">
        <f t="shared" si="0"/>
        <v>52.730000000000011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AD8-918F-4350-9D61-F13B6E500DAF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0.61300925925925931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1.8398704427732091</v>
      </c>
      <c r="M2" s="8">
        <f>100*(R36/(R36+Q36))</f>
        <v>41.984251209373276</v>
      </c>
      <c r="O2" s="9">
        <f>100*((E36*C2)/((E36*C2)+(K2*E2)))</f>
        <v>13.506712385386132</v>
      </c>
      <c r="Q2" s="10">
        <f>100*J36*(1/(((C2/3.6)*E36)+((E2/3.6)*K2)))</f>
        <v>2.593425289887658E-3</v>
      </c>
      <c r="S2" s="6">
        <v>3.54</v>
      </c>
      <c r="U2" s="10">
        <f>100*((((G36*0.001*60)*(C36-D36)*(S2/3.6)))/(((C2/3.6)*E36)+((E2/3.6)*K2)))</f>
        <v>-33.287353453051182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480</v>
      </c>
      <c r="B6">
        <v>163.5</v>
      </c>
      <c r="C6">
        <v>69.902000000000001</v>
      </c>
      <c r="D6">
        <v>100</v>
      </c>
      <c r="E6">
        <v>0.34100000000000003</v>
      </c>
      <c r="F6">
        <v>79.662000000000006</v>
      </c>
      <c r="G6">
        <v>5.8490000000000002</v>
      </c>
      <c r="H6">
        <v>103.685</v>
      </c>
      <c r="I6">
        <v>40.476999999999997</v>
      </c>
      <c r="J6">
        <v>1E-3</v>
      </c>
      <c r="K6">
        <v>229.73099999999999</v>
      </c>
      <c r="L6">
        <v>0.107</v>
      </c>
      <c r="M6">
        <v>52.843000000000004</v>
      </c>
      <c r="N6">
        <v>0</v>
      </c>
      <c r="O6">
        <v>0.91600000000000004</v>
      </c>
      <c r="P6">
        <v>0</v>
      </c>
      <c r="Q6">
        <v>56.173999999999999</v>
      </c>
      <c r="R6">
        <v>39</v>
      </c>
      <c r="S6">
        <v>13.9</v>
      </c>
    </row>
    <row r="7" spans="1:21" x14ac:dyDescent="0.3">
      <c r="A7" t="s">
        <v>481</v>
      </c>
      <c r="B7">
        <v>163.333</v>
      </c>
      <c r="C7">
        <v>69.912000000000006</v>
      </c>
      <c r="D7">
        <v>100</v>
      </c>
      <c r="E7">
        <v>0.33500000000000002</v>
      </c>
      <c r="F7">
        <v>79.582999999999998</v>
      </c>
      <c r="G7">
        <v>5.6029999999999998</v>
      </c>
      <c r="H7">
        <v>103.764</v>
      </c>
      <c r="I7">
        <v>40.941000000000003</v>
      </c>
      <c r="J7">
        <v>1E-3</v>
      </c>
      <c r="K7">
        <v>229.96100000000001</v>
      </c>
      <c r="L7">
        <v>8.5999999999999993E-2</v>
      </c>
      <c r="M7">
        <v>52.841000000000001</v>
      </c>
      <c r="N7">
        <v>0</v>
      </c>
      <c r="O7">
        <v>0.93500000000000005</v>
      </c>
      <c r="P7">
        <v>0</v>
      </c>
      <c r="Q7">
        <v>56.055999999999997</v>
      </c>
      <c r="R7">
        <v>38.9</v>
      </c>
      <c r="S7">
        <v>13.9</v>
      </c>
    </row>
    <row r="8" spans="1:21" x14ac:dyDescent="0.3">
      <c r="A8" t="s">
        <v>482</v>
      </c>
      <c r="B8">
        <v>163.37</v>
      </c>
      <c r="C8">
        <v>69.902000000000001</v>
      </c>
      <c r="D8">
        <v>100</v>
      </c>
      <c r="E8">
        <v>0.35</v>
      </c>
      <c r="F8">
        <v>79.048000000000002</v>
      </c>
      <c r="G8">
        <v>5.8460000000000001</v>
      </c>
      <c r="H8">
        <v>103.57299999999999</v>
      </c>
      <c r="I8">
        <v>40.564</v>
      </c>
      <c r="J8">
        <v>0</v>
      </c>
      <c r="K8">
        <v>229.583</v>
      </c>
      <c r="L8">
        <v>0</v>
      </c>
      <c r="M8">
        <v>52.771999999999998</v>
      </c>
      <c r="N8">
        <v>0</v>
      </c>
      <c r="O8">
        <v>0.93899999999999995</v>
      </c>
      <c r="P8">
        <v>0</v>
      </c>
      <c r="Q8">
        <v>55.957000000000001</v>
      </c>
      <c r="R8">
        <v>38.9</v>
      </c>
      <c r="S8">
        <v>13.9</v>
      </c>
    </row>
    <row r="9" spans="1:21" x14ac:dyDescent="0.3">
      <c r="A9" t="s">
        <v>483</v>
      </c>
      <c r="B9">
        <v>163.02199999999999</v>
      </c>
      <c r="C9">
        <v>69.885000000000005</v>
      </c>
      <c r="D9">
        <v>100</v>
      </c>
      <c r="E9">
        <v>0.34799999999999998</v>
      </c>
      <c r="F9">
        <v>79.537000000000006</v>
      </c>
      <c r="G9">
        <v>5.798</v>
      </c>
      <c r="H9">
        <v>103.398</v>
      </c>
      <c r="I9">
        <v>40.793999999999997</v>
      </c>
      <c r="J9">
        <v>1E-3</v>
      </c>
      <c r="K9">
        <v>229.91200000000001</v>
      </c>
      <c r="L9">
        <v>3.0000000000000001E-3</v>
      </c>
      <c r="M9">
        <v>52.899000000000001</v>
      </c>
      <c r="N9">
        <v>0</v>
      </c>
      <c r="O9">
        <v>0.92700000000000005</v>
      </c>
      <c r="P9">
        <v>0</v>
      </c>
      <c r="Q9">
        <v>55.847999999999999</v>
      </c>
      <c r="R9">
        <v>39</v>
      </c>
      <c r="S9">
        <v>13.9</v>
      </c>
    </row>
    <row r="10" spans="1:21" x14ac:dyDescent="0.3">
      <c r="A10" t="s">
        <v>484</v>
      </c>
      <c r="B10">
        <v>163.12299999999999</v>
      </c>
      <c r="C10">
        <v>69.899000000000001</v>
      </c>
      <c r="D10">
        <v>100</v>
      </c>
      <c r="E10">
        <v>0.34100000000000003</v>
      </c>
      <c r="F10">
        <v>78.072000000000003</v>
      </c>
      <c r="G10">
        <v>5.3760000000000003</v>
      </c>
      <c r="H10">
        <v>103.258</v>
      </c>
      <c r="I10">
        <v>40.784999999999997</v>
      </c>
      <c r="J10">
        <v>0</v>
      </c>
      <c r="K10">
        <v>229.649</v>
      </c>
      <c r="L10">
        <v>2E-3</v>
      </c>
      <c r="M10">
        <v>52.866999999999997</v>
      </c>
      <c r="N10">
        <v>0</v>
      </c>
      <c r="O10">
        <v>0.92700000000000005</v>
      </c>
      <c r="P10">
        <v>0</v>
      </c>
      <c r="Q10">
        <v>55.722000000000001</v>
      </c>
      <c r="R10">
        <v>39</v>
      </c>
      <c r="S10">
        <v>13.9</v>
      </c>
    </row>
    <row r="11" spans="1:21" x14ac:dyDescent="0.3">
      <c r="A11" t="s">
        <v>485</v>
      </c>
      <c r="B11">
        <v>162.92099999999999</v>
      </c>
      <c r="C11">
        <v>69.888999999999996</v>
      </c>
      <c r="D11">
        <v>100</v>
      </c>
      <c r="E11">
        <v>0.35799999999999998</v>
      </c>
      <c r="F11">
        <v>79.465000000000003</v>
      </c>
      <c r="G11">
        <v>5.867</v>
      </c>
      <c r="H11">
        <v>103.054</v>
      </c>
      <c r="I11">
        <v>40.518000000000001</v>
      </c>
      <c r="J11">
        <v>1E-3</v>
      </c>
      <c r="K11">
        <v>229.846</v>
      </c>
      <c r="L11">
        <v>8.0000000000000002E-3</v>
      </c>
      <c r="M11">
        <v>52.835999999999999</v>
      </c>
      <c r="N11">
        <v>0</v>
      </c>
      <c r="O11">
        <v>0.92600000000000005</v>
      </c>
      <c r="P11">
        <v>0</v>
      </c>
      <c r="Q11">
        <v>55.600999999999999</v>
      </c>
      <c r="R11">
        <v>39</v>
      </c>
      <c r="S11">
        <v>13.9</v>
      </c>
    </row>
    <row r="12" spans="1:21" x14ac:dyDescent="0.3">
      <c r="A12" t="s">
        <v>486</v>
      </c>
      <c r="B12">
        <v>162.767</v>
      </c>
      <c r="C12">
        <v>69.891999999999996</v>
      </c>
      <c r="D12">
        <v>100</v>
      </c>
      <c r="E12">
        <v>0.34699999999999998</v>
      </c>
      <c r="F12">
        <v>80.216999999999999</v>
      </c>
      <c r="G12">
        <v>5.819</v>
      </c>
      <c r="H12">
        <v>102.861</v>
      </c>
      <c r="I12">
        <v>40.962000000000003</v>
      </c>
      <c r="J12">
        <v>1E-3</v>
      </c>
      <c r="K12">
        <v>229.517</v>
      </c>
      <c r="L12">
        <v>3.0000000000000001E-3</v>
      </c>
      <c r="M12">
        <v>52.82</v>
      </c>
      <c r="N12">
        <v>0</v>
      </c>
      <c r="O12">
        <v>0.91200000000000003</v>
      </c>
      <c r="P12">
        <v>0</v>
      </c>
      <c r="Q12">
        <v>55.512999999999998</v>
      </c>
      <c r="R12">
        <v>39</v>
      </c>
      <c r="S12">
        <v>13.9</v>
      </c>
    </row>
    <row r="13" spans="1:21" x14ac:dyDescent="0.3">
      <c r="A13" t="s">
        <v>487</v>
      </c>
      <c r="B13">
        <v>162.59299999999999</v>
      </c>
      <c r="C13">
        <v>69.891999999999996</v>
      </c>
      <c r="D13">
        <v>100</v>
      </c>
      <c r="E13">
        <v>0.34499999999999997</v>
      </c>
      <c r="F13">
        <v>79.793999999999997</v>
      </c>
      <c r="G13">
        <v>5.5709999999999997</v>
      </c>
      <c r="H13">
        <v>102.654</v>
      </c>
      <c r="I13">
        <v>39.113999999999997</v>
      </c>
      <c r="J13">
        <v>2E-3</v>
      </c>
      <c r="K13">
        <v>229.86199999999999</v>
      </c>
      <c r="L13">
        <v>7.0000000000000001E-3</v>
      </c>
      <c r="M13">
        <v>52.850999999999999</v>
      </c>
      <c r="N13">
        <v>0</v>
      </c>
      <c r="O13">
        <v>0.92</v>
      </c>
      <c r="P13">
        <v>0</v>
      </c>
      <c r="Q13">
        <v>55.4</v>
      </c>
      <c r="R13">
        <v>39</v>
      </c>
      <c r="S13">
        <v>13.9</v>
      </c>
    </row>
    <row r="14" spans="1:21" x14ac:dyDescent="0.3">
      <c r="A14" t="s">
        <v>488</v>
      </c>
      <c r="B14">
        <v>162.59700000000001</v>
      </c>
      <c r="C14">
        <v>69.888999999999996</v>
      </c>
      <c r="D14">
        <v>100</v>
      </c>
      <c r="E14">
        <v>0.34799999999999998</v>
      </c>
      <c r="F14">
        <v>79.084000000000003</v>
      </c>
      <c r="G14">
        <v>5.415</v>
      </c>
      <c r="H14">
        <v>102.587</v>
      </c>
      <c r="I14">
        <v>40.872</v>
      </c>
      <c r="J14">
        <v>1E-3</v>
      </c>
      <c r="K14">
        <v>229.53399999999999</v>
      </c>
      <c r="L14">
        <v>3.0000000000000001E-3</v>
      </c>
      <c r="M14">
        <v>52.838999999999999</v>
      </c>
      <c r="N14">
        <v>0</v>
      </c>
      <c r="O14">
        <v>0.92100000000000004</v>
      </c>
      <c r="P14">
        <v>0</v>
      </c>
      <c r="Q14">
        <v>55.289000000000001</v>
      </c>
      <c r="R14">
        <v>39</v>
      </c>
      <c r="S14">
        <v>13.9</v>
      </c>
    </row>
    <row r="15" spans="1:21" x14ac:dyDescent="0.3">
      <c r="A15" t="s">
        <v>489</v>
      </c>
      <c r="B15">
        <v>162.46100000000001</v>
      </c>
      <c r="C15">
        <v>69.885000000000005</v>
      </c>
      <c r="D15">
        <v>100</v>
      </c>
      <c r="E15">
        <v>0.33700000000000002</v>
      </c>
      <c r="F15">
        <v>79.334000000000003</v>
      </c>
      <c r="G15">
        <v>5.125</v>
      </c>
      <c r="H15">
        <v>102.46899999999999</v>
      </c>
      <c r="I15">
        <v>41.069000000000003</v>
      </c>
      <c r="J15">
        <v>0</v>
      </c>
      <c r="K15">
        <v>229.797</v>
      </c>
      <c r="L15">
        <v>4.3999999999999997E-2</v>
      </c>
      <c r="M15">
        <v>52.890999999999998</v>
      </c>
      <c r="N15">
        <v>0</v>
      </c>
      <c r="O15">
        <v>0.93</v>
      </c>
      <c r="P15">
        <v>0</v>
      </c>
      <c r="Q15">
        <v>55.174999999999997</v>
      </c>
      <c r="R15">
        <v>39</v>
      </c>
      <c r="S15">
        <v>13.9</v>
      </c>
    </row>
    <row r="16" spans="1:21" x14ac:dyDescent="0.3">
      <c r="A16" t="s">
        <v>490</v>
      </c>
      <c r="B16">
        <v>162.251</v>
      </c>
      <c r="C16">
        <v>69.888999999999996</v>
      </c>
      <c r="D16">
        <v>100</v>
      </c>
      <c r="E16">
        <v>0.34</v>
      </c>
      <c r="F16">
        <v>78.677000000000007</v>
      </c>
      <c r="G16">
        <v>5.5609999999999999</v>
      </c>
      <c r="H16">
        <v>102.28100000000001</v>
      </c>
      <c r="I16">
        <v>40.780999999999999</v>
      </c>
      <c r="J16">
        <v>1E-3</v>
      </c>
      <c r="K16">
        <v>229.61600000000001</v>
      </c>
      <c r="L16">
        <v>8.1000000000000003E-2</v>
      </c>
      <c r="M16">
        <v>52.860999999999997</v>
      </c>
      <c r="N16">
        <v>0</v>
      </c>
      <c r="O16">
        <v>0.91700000000000004</v>
      </c>
      <c r="P16">
        <v>0</v>
      </c>
      <c r="Q16">
        <v>55.064999999999998</v>
      </c>
      <c r="R16">
        <v>39.1</v>
      </c>
      <c r="S16">
        <v>13.9</v>
      </c>
    </row>
    <row r="17" spans="1:19" x14ac:dyDescent="0.3">
      <c r="A17" t="s">
        <v>491</v>
      </c>
      <c r="B17">
        <v>162.25899999999999</v>
      </c>
      <c r="C17">
        <v>69.882000000000005</v>
      </c>
      <c r="D17">
        <v>100</v>
      </c>
      <c r="E17">
        <v>0.32800000000000001</v>
      </c>
      <c r="F17">
        <v>79.251999999999995</v>
      </c>
      <c r="G17">
        <v>5.9660000000000002</v>
      </c>
      <c r="H17">
        <v>102.223</v>
      </c>
      <c r="I17">
        <v>41.069000000000003</v>
      </c>
      <c r="J17">
        <v>1E-3</v>
      </c>
      <c r="K17">
        <v>229.583</v>
      </c>
      <c r="L17">
        <v>0</v>
      </c>
      <c r="M17">
        <v>52.843000000000004</v>
      </c>
      <c r="N17">
        <v>0</v>
      </c>
      <c r="O17">
        <v>0.92600000000000005</v>
      </c>
      <c r="P17">
        <v>0</v>
      </c>
      <c r="Q17">
        <v>54.948</v>
      </c>
      <c r="R17">
        <v>39.200000000000003</v>
      </c>
      <c r="S17">
        <v>13.9</v>
      </c>
    </row>
    <row r="18" spans="1:19" x14ac:dyDescent="0.3">
      <c r="A18" t="s">
        <v>492</v>
      </c>
      <c r="B18">
        <v>162.06700000000001</v>
      </c>
      <c r="C18">
        <v>69.888999999999996</v>
      </c>
      <c r="D18">
        <v>100</v>
      </c>
      <c r="E18">
        <v>0.33300000000000002</v>
      </c>
      <c r="F18">
        <v>80.004000000000005</v>
      </c>
      <c r="G18">
        <v>5.7320000000000002</v>
      </c>
      <c r="H18">
        <v>102.258</v>
      </c>
      <c r="I18">
        <v>40.859000000000002</v>
      </c>
      <c r="J18">
        <v>1E-3</v>
      </c>
      <c r="K18">
        <v>229.74700000000001</v>
      </c>
      <c r="L18">
        <v>0</v>
      </c>
      <c r="M18">
        <v>52.787999999999997</v>
      </c>
      <c r="N18">
        <v>0</v>
      </c>
      <c r="O18">
        <v>0.92700000000000005</v>
      </c>
      <c r="P18">
        <v>0</v>
      </c>
      <c r="Q18">
        <v>54.848999999999997</v>
      </c>
      <c r="R18">
        <v>39.299999999999997</v>
      </c>
      <c r="S18">
        <v>13.9</v>
      </c>
    </row>
    <row r="19" spans="1:19" x14ac:dyDescent="0.3">
      <c r="A19" t="s">
        <v>493</v>
      </c>
      <c r="B19">
        <v>161.99700000000001</v>
      </c>
      <c r="C19">
        <v>69.888999999999996</v>
      </c>
      <c r="D19">
        <v>100</v>
      </c>
      <c r="E19">
        <v>0.33800000000000002</v>
      </c>
      <c r="F19">
        <v>79.429000000000002</v>
      </c>
      <c r="G19">
        <v>5.5549999999999997</v>
      </c>
      <c r="H19">
        <v>102.364</v>
      </c>
      <c r="I19">
        <v>41.11</v>
      </c>
      <c r="J19">
        <v>0</v>
      </c>
      <c r="K19">
        <v>229.87899999999999</v>
      </c>
      <c r="L19">
        <v>7.5999999999999998E-2</v>
      </c>
      <c r="M19">
        <v>52.895000000000003</v>
      </c>
      <c r="N19">
        <v>0</v>
      </c>
      <c r="O19">
        <v>0.93500000000000005</v>
      </c>
      <c r="P19">
        <v>0</v>
      </c>
      <c r="Q19">
        <v>54.732999999999997</v>
      </c>
      <c r="R19">
        <v>39.299999999999997</v>
      </c>
      <c r="S19">
        <v>13.9</v>
      </c>
    </row>
    <row r="20" spans="1:19" x14ac:dyDescent="0.3">
      <c r="A20" t="s">
        <v>494</v>
      </c>
      <c r="B20">
        <v>162.30799999999999</v>
      </c>
      <c r="C20">
        <v>69.894999999999996</v>
      </c>
      <c r="D20">
        <v>100</v>
      </c>
      <c r="E20">
        <v>0.33500000000000002</v>
      </c>
      <c r="F20">
        <v>78.897000000000006</v>
      </c>
      <c r="G20">
        <v>5.7080000000000002</v>
      </c>
      <c r="H20">
        <v>101.961</v>
      </c>
      <c r="I20">
        <v>41.113999999999997</v>
      </c>
      <c r="J20">
        <v>1E-3</v>
      </c>
      <c r="K20">
        <v>229.714</v>
      </c>
      <c r="L20">
        <v>0</v>
      </c>
      <c r="M20">
        <v>52.848999999999997</v>
      </c>
      <c r="N20">
        <v>0</v>
      </c>
      <c r="O20">
        <v>0.92600000000000005</v>
      </c>
      <c r="P20">
        <v>0</v>
      </c>
      <c r="Q20">
        <v>54.6</v>
      </c>
      <c r="R20">
        <v>39.4</v>
      </c>
      <c r="S20">
        <v>13.9</v>
      </c>
    </row>
    <row r="21" spans="1:19" x14ac:dyDescent="0.3">
      <c r="A21" t="s">
        <v>495</v>
      </c>
      <c r="B21">
        <v>162.13</v>
      </c>
      <c r="C21">
        <v>69.885000000000005</v>
      </c>
      <c r="D21">
        <v>100</v>
      </c>
      <c r="E21">
        <v>0.32800000000000001</v>
      </c>
      <c r="F21">
        <v>78.748999999999995</v>
      </c>
      <c r="G21">
        <v>5.29</v>
      </c>
      <c r="H21">
        <v>102.151</v>
      </c>
      <c r="I21">
        <v>41.155000000000001</v>
      </c>
      <c r="J21">
        <v>0</v>
      </c>
      <c r="K21">
        <v>229.59899999999999</v>
      </c>
      <c r="L21">
        <v>0</v>
      </c>
      <c r="M21">
        <v>52.95</v>
      </c>
      <c r="N21">
        <v>0</v>
      </c>
      <c r="O21">
        <v>0.93600000000000005</v>
      </c>
      <c r="P21">
        <v>0</v>
      </c>
      <c r="Q21">
        <v>54.494999999999997</v>
      </c>
      <c r="R21">
        <v>39.4</v>
      </c>
      <c r="S21">
        <v>13.9</v>
      </c>
    </row>
    <row r="22" spans="1:19" x14ac:dyDescent="0.3">
      <c r="A22" t="s">
        <v>496</v>
      </c>
      <c r="B22">
        <v>162.15899999999999</v>
      </c>
      <c r="C22">
        <v>69.888999999999996</v>
      </c>
      <c r="D22">
        <v>100</v>
      </c>
      <c r="E22">
        <v>0.33200000000000002</v>
      </c>
      <c r="F22">
        <v>80.391999999999996</v>
      </c>
      <c r="G22">
        <v>5.2229999999999999</v>
      </c>
      <c r="H22">
        <v>101.92100000000001</v>
      </c>
      <c r="I22">
        <v>41.139000000000003</v>
      </c>
      <c r="J22">
        <v>0</v>
      </c>
      <c r="K22">
        <v>229.928</v>
      </c>
      <c r="L22">
        <v>6.0000000000000001E-3</v>
      </c>
      <c r="M22">
        <v>52.877000000000002</v>
      </c>
      <c r="N22">
        <v>0</v>
      </c>
      <c r="O22">
        <v>0.90900000000000003</v>
      </c>
      <c r="P22">
        <v>0</v>
      </c>
      <c r="Q22">
        <v>54.398000000000003</v>
      </c>
      <c r="R22">
        <v>39.5</v>
      </c>
      <c r="S22">
        <v>13.9</v>
      </c>
    </row>
    <row r="23" spans="1:19" x14ac:dyDescent="0.3">
      <c r="A23" t="s">
        <v>497</v>
      </c>
      <c r="B23">
        <v>161.61600000000001</v>
      </c>
      <c r="C23">
        <v>69.894999999999996</v>
      </c>
      <c r="D23">
        <v>100</v>
      </c>
      <c r="E23">
        <v>0.36</v>
      </c>
      <c r="F23">
        <v>78.861000000000004</v>
      </c>
      <c r="G23">
        <v>5.415</v>
      </c>
      <c r="H23">
        <v>101.97499999999999</v>
      </c>
      <c r="I23">
        <v>41.015000000000001</v>
      </c>
      <c r="J23">
        <v>1E-3</v>
      </c>
      <c r="K23">
        <v>229.63200000000001</v>
      </c>
      <c r="L23">
        <v>8.0000000000000002E-3</v>
      </c>
      <c r="M23">
        <v>52.859000000000002</v>
      </c>
      <c r="N23">
        <v>0</v>
      </c>
      <c r="O23">
        <v>0.92500000000000004</v>
      </c>
      <c r="P23">
        <v>0</v>
      </c>
      <c r="Q23">
        <v>54.290999999999997</v>
      </c>
      <c r="R23">
        <v>39.6</v>
      </c>
      <c r="S23">
        <v>13.9</v>
      </c>
    </row>
    <row r="24" spans="1:19" x14ac:dyDescent="0.3">
      <c r="A24" t="s">
        <v>498</v>
      </c>
      <c r="B24">
        <v>161.714</v>
      </c>
      <c r="C24">
        <v>69.894999999999996</v>
      </c>
      <c r="D24">
        <v>100</v>
      </c>
      <c r="E24">
        <v>0.34</v>
      </c>
      <c r="F24">
        <v>79.727999999999994</v>
      </c>
      <c r="G24">
        <v>5.4939999999999998</v>
      </c>
      <c r="H24">
        <v>102.002</v>
      </c>
      <c r="I24">
        <v>41.396999999999998</v>
      </c>
      <c r="J24">
        <v>2E-3</v>
      </c>
      <c r="K24">
        <v>229.94399999999999</v>
      </c>
      <c r="L24">
        <v>5.0000000000000001E-3</v>
      </c>
      <c r="M24">
        <v>52.966000000000001</v>
      </c>
      <c r="N24">
        <v>0</v>
      </c>
      <c r="O24">
        <v>0.92900000000000005</v>
      </c>
      <c r="P24">
        <v>0</v>
      </c>
      <c r="Q24">
        <v>54.174999999999997</v>
      </c>
      <c r="R24">
        <v>39.6</v>
      </c>
      <c r="S24">
        <v>13.9</v>
      </c>
    </row>
    <row r="25" spans="1:19" x14ac:dyDescent="0.3">
      <c r="A25" t="s">
        <v>499</v>
      </c>
      <c r="B25">
        <v>161.71299999999999</v>
      </c>
      <c r="C25">
        <v>69.891999999999996</v>
      </c>
      <c r="D25">
        <v>100</v>
      </c>
      <c r="E25">
        <v>0.32500000000000001</v>
      </c>
      <c r="F25">
        <v>79.099999999999994</v>
      </c>
      <c r="G25">
        <v>5.2809999999999997</v>
      </c>
      <c r="H25">
        <v>101.758</v>
      </c>
      <c r="I25">
        <v>41.204000000000001</v>
      </c>
      <c r="J25">
        <v>1E-3</v>
      </c>
      <c r="K25">
        <v>229.714</v>
      </c>
      <c r="L25">
        <v>1E-3</v>
      </c>
      <c r="M25">
        <v>52.889000000000003</v>
      </c>
      <c r="N25">
        <v>0</v>
      </c>
      <c r="O25">
        <v>0.93600000000000005</v>
      </c>
      <c r="P25">
        <v>0</v>
      </c>
      <c r="Q25">
        <v>54.069000000000003</v>
      </c>
      <c r="R25">
        <v>39.700000000000003</v>
      </c>
      <c r="S25">
        <v>13.9</v>
      </c>
    </row>
    <row r="26" spans="1:19" x14ac:dyDescent="0.3">
      <c r="A26" t="s">
        <v>500</v>
      </c>
      <c r="B26">
        <v>161.50399999999999</v>
      </c>
      <c r="C26">
        <v>69.861999999999995</v>
      </c>
      <c r="D26">
        <v>100</v>
      </c>
      <c r="E26">
        <v>0.35299999999999998</v>
      </c>
      <c r="F26">
        <v>78.853999999999999</v>
      </c>
      <c r="G26">
        <v>5.069</v>
      </c>
      <c r="H26">
        <v>101.871</v>
      </c>
      <c r="I26">
        <v>41.11</v>
      </c>
      <c r="J26">
        <v>1E-3</v>
      </c>
      <c r="K26">
        <v>229.846</v>
      </c>
      <c r="L26">
        <v>0</v>
      </c>
      <c r="M26">
        <v>52.869</v>
      </c>
      <c r="N26">
        <v>0</v>
      </c>
      <c r="O26">
        <v>0.92700000000000005</v>
      </c>
      <c r="P26">
        <v>0</v>
      </c>
      <c r="Q26">
        <v>53.951999999999998</v>
      </c>
      <c r="R26">
        <v>39.799999999999997</v>
      </c>
      <c r="S26">
        <v>13.9</v>
      </c>
    </row>
    <row r="27" spans="1:19" x14ac:dyDescent="0.3">
      <c r="A27" t="s">
        <v>501</v>
      </c>
      <c r="B27">
        <v>161.43600000000001</v>
      </c>
      <c r="C27">
        <v>69.83</v>
      </c>
      <c r="D27">
        <v>100</v>
      </c>
      <c r="E27">
        <v>0.33400000000000002</v>
      </c>
      <c r="F27">
        <v>79.11</v>
      </c>
      <c r="G27">
        <v>5.0620000000000003</v>
      </c>
      <c r="H27">
        <v>101.798</v>
      </c>
      <c r="I27">
        <v>41.470999999999997</v>
      </c>
      <c r="J27">
        <v>0</v>
      </c>
      <c r="K27">
        <v>229.649</v>
      </c>
      <c r="L27">
        <v>0</v>
      </c>
      <c r="M27">
        <v>52.865000000000002</v>
      </c>
      <c r="N27">
        <v>0</v>
      </c>
      <c r="O27">
        <v>0.92800000000000005</v>
      </c>
      <c r="P27">
        <v>0</v>
      </c>
      <c r="Q27">
        <v>53.834000000000003</v>
      </c>
      <c r="R27">
        <v>39.799999999999997</v>
      </c>
      <c r="S27">
        <v>13.9</v>
      </c>
    </row>
    <row r="28" spans="1:19" x14ac:dyDescent="0.3">
      <c r="A28" t="s">
        <v>502</v>
      </c>
      <c r="B28">
        <v>161.31100000000001</v>
      </c>
      <c r="C28">
        <v>69.832999999999998</v>
      </c>
      <c r="D28">
        <v>100</v>
      </c>
      <c r="E28">
        <v>0.34599999999999997</v>
      </c>
      <c r="F28">
        <v>79.481999999999999</v>
      </c>
      <c r="G28">
        <v>5.3689999999999998</v>
      </c>
      <c r="H28">
        <v>101.5</v>
      </c>
      <c r="I28">
        <v>41.06</v>
      </c>
      <c r="J28">
        <v>0</v>
      </c>
      <c r="K28">
        <v>229.846</v>
      </c>
      <c r="L28">
        <v>0</v>
      </c>
      <c r="M28">
        <v>53.005000000000003</v>
      </c>
      <c r="N28">
        <v>0</v>
      </c>
      <c r="O28">
        <v>0.94</v>
      </c>
      <c r="P28">
        <v>0</v>
      </c>
      <c r="Q28">
        <v>53.732999999999997</v>
      </c>
      <c r="R28">
        <v>39.9</v>
      </c>
      <c r="S28">
        <v>13.9</v>
      </c>
    </row>
    <row r="29" spans="1:19" x14ac:dyDescent="0.3">
      <c r="A29" t="s">
        <v>503</v>
      </c>
      <c r="B29">
        <v>161.59399999999999</v>
      </c>
      <c r="C29">
        <v>69.894999999999996</v>
      </c>
      <c r="D29">
        <v>100</v>
      </c>
      <c r="E29">
        <v>0.31900000000000001</v>
      </c>
      <c r="F29">
        <v>79.39</v>
      </c>
      <c r="G29">
        <v>5.7320000000000002</v>
      </c>
      <c r="H29">
        <v>101.56</v>
      </c>
      <c r="I29">
        <v>41.459000000000003</v>
      </c>
      <c r="J29">
        <v>0</v>
      </c>
      <c r="K29">
        <v>229.61600000000001</v>
      </c>
      <c r="L29">
        <v>0.02</v>
      </c>
      <c r="M29">
        <v>52.877000000000002</v>
      </c>
      <c r="N29">
        <v>0</v>
      </c>
      <c r="O29">
        <v>0.91900000000000004</v>
      </c>
      <c r="P29">
        <v>0</v>
      </c>
      <c r="Q29">
        <v>53.619</v>
      </c>
      <c r="R29">
        <v>40</v>
      </c>
      <c r="S29">
        <v>13.9</v>
      </c>
    </row>
    <row r="30" spans="1:19" x14ac:dyDescent="0.3">
      <c r="A30" t="s">
        <v>504</v>
      </c>
      <c r="B30">
        <v>161.19900000000001</v>
      </c>
      <c r="C30">
        <v>69.905000000000001</v>
      </c>
      <c r="D30">
        <v>100</v>
      </c>
      <c r="E30">
        <v>0.33100000000000002</v>
      </c>
      <c r="F30">
        <v>79.832999999999998</v>
      </c>
      <c r="G30">
        <v>5.492</v>
      </c>
      <c r="H30">
        <v>101.599</v>
      </c>
      <c r="I30">
        <v>41.085000000000001</v>
      </c>
      <c r="J30">
        <v>1E-3</v>
      </c>
      <c r="K30">
        <v>229.977</v>
      </c>
      <c r="L30">
        <v>2E-3</v>
      </c>
      <c r="M30">
        <v>52.899000000000001</v>
      </c>
      <c r="N30">
        <v>0</v>
      </c>
      <c r="O30">
        <v>0.92400000000000004</v>
      </c>
      <c r="P30">
        <v>0</v>
      </c>
      <c r="Q30">
        <v>53.512999999999998</v>
      </c>
      <c r="R30">
        <v>40</v>
      </c>
      <c r="S30">
        <v>13.9</v>
      </c>
    </row>
    <row r="31" spans="1:19" x14ac:dyDescent="0.3">
      <c r="A31" t="s">
        <v>505</v>
      </c>
      <c r="B31">
        <v>161.15</v>
      </c>
      <c r="C31">
        <v>69.869</v>
      </c>
      <c r="D31">
        <v>100</v>
      </c>
      <c r="E31">
        <v>0.317</v>
      </c>
      <c r="F31">
        <v>78.837999999999994</v>
      </c>
      <c r="G31">
        <v>5.5579999999999998</v>
      </c>
      <c r="H31">
        <v>101.553</v>
      </c>
      <c r="I31">
        <v>41.207999999999998</v>
      </c>
      <c r="J31">
        <v>1E-3</v>
      </c>
      <c r="K31">
        <v>229.583</v>
      </c>
      <c r="L31">
        <v>5.0000000000000001E-3</v>
      </c>
      <c r="M31">
        <v>52.948</v>
      </c>
      <c r="N31">
        <v>0</v>
      </c>
      <c r="O31">
        <v>0.94</v>
      </c>
      <c r="P31">
        <v>0</v>
      </c>
      <c r="Q31">
        <v>53.38</v>
      </c>
      <c r="R31">
        <v>40.1</v>
      </c>
      <c r="S31">
        <v>13.9</v>
      </c>
    </row>
    <row r="32" spans="1:19" x14ac:dyDescent="0.3">
      <c r="A32" t="s">
        <v>506</v>
      </c>
      <c r="B32">
        <v>161.15</v>
      </c>
      <c r="C32">
        <v>69.876000000000005</v>
      </c>
      <c r="D32">
        <v>100</v>
      </c>
      <c r="E32">
        <v>0.317</v>
      </c>
      <c r="F32">
        <v>79.885999999999996</v>
      </c>
      <c r="G32">
        <v>5.7519999999999998</v>
      </c>
      <c r="H32">
        <v>101.562</v>
      </c>
      <c r="I32">
        <v>41.529000000000003</v>
      </c>
      <c r="J32">
        <v>0</v>
      </c>
      <c r="K32">
        <v>229.928</v>
      </c>
      <c r="L32">
        <v>2E-3</v>
      </c>
      <c r="M32">
        <v>52.908000000000001</v>
      </c>
      <c r="N32">
        <v>0</v>
      </c>
      <c r="O32">
        <v>0.92300000000000004</v>
      </c>
      <c r="P32">
        <v>0</v>
      </c>
      <c r="Q32">
        <v>53.279000000000003</v>
      </c>
      <c r="R32">
        <v>40.1</v>
      </c>
      <c r="S32">
        <v>13.9</v>
      </c>
    </row>
    <row r="33" spans="1:19" x14ac:dyDescent="0.3">
      <c r="A33" t="s">
        <v>507</v>
      </c>
      <c r="B33">
        <v>161.09399999999999</v>
      </c>
      <c r="C33">
        <v>69.885000000000005</v>
      </c>
      <c r="D33">
        <v>100</v>
      </c>
      <c r="E33">
        <v>0.32800000000000001</v>
      </c>
      <c r="F33">
        <v>79.221999999999994</v>
      </c>
      <c r="G33">
        <v>5.609</v>
      </c>
      <c r="H33">
        <v>101.458</v>
      </c>
      <c r="I33">
        <v>41.344000000000001</v>
      </c>
      <c r="J33">
        <v>1E-3</v>
      </c>
      <c r="K33">
        <v>229.583</v>
      </c>
      <c r="L33">
        <v>3.0000000000000001E-3</v>
      </c>
      <c r="M33">
        <v>52.962000000000003</v>
      </c>
      <c r="N33">
        <v>0</v>
      </c>
      <c r="O33">
        <v>0.92100000000000004</v>
      </c>
      <c r="P33">
        <v>0</v>
      </c>
      <c r="Q33">
        <v>53.168999999999997</v>
      </c>
      <c r="R33">
        <v>40.200000000000003</v>
      </c>
      <c r="S33">
        <v>13.9</v>
      </c>
    </row>
    <row r="34" spans="1:19" x14ac:dyDescent="0.3">
      <c r="A34" t="s">
        <v>508</v>
      </c>
      <c r="B34">
        <v>161.12100000000001</v>
      </c>
      <c r="C34">
        <v>69.849000000000004</v>
      </c>
      <c r="D34">
        <v>100</v>
      </c>
      <c r="E34">
        <v>0.33500000000000002</v>
      </c>
      <c r="F34">
        <v>79.265000000000001</v>
      </c>
      <c r="G34">
        <v>5.4249999999999998</v>
      </c>
      <c r="H34">
        <v>101.15300000000001</v>
      </c>
      <c r="I34">
        <v>41.627000000000002</v>
      </c>
      <c r="J34">
        <v>0</v>
      </c>
      <c r="K34">
        <v>229.89500000000001</v>
      </c>
      <c r="L34">
        <v>4.0000000000000001E-3</v>
      </c>
      <c r="M34">
        <v>52.884999999999998</v>
      </c>
      <c r="N34">
        <v>0</v>
      </c>
      <c r="O34">
        <v>0.93</v>
      </c>
      <c r="P34">
        <v>0</v>
      </c>
      <c r="Q34">
        <v>53.039000000000001</v>
      </c>
      <c r="R34">
        <v>40.299999999999997</v>
      </c>
      <c r="S34">
        <v>13.9</v>
      </c>
    </row>
    <row r="35" spans="1:19" ht="15" thickBot="1" x14ac:dyDescent="0.35">
      <c r="A35" t="s">
        <v>509</v>
      </c>
      <c r="B35">
        <v>160.71</v>
      </c>
      <c r="C35">
        <v>69.891999999999996</v>
      </c>
      <c r="D35">
        <v>100</v>
      </c>
      <c r="E35">
        <v>0.31</v>
      </c>
      <c r="F35">
        <v>78.216999999999999</v>
      </c>
      <c r="G35">
        <v>5.5860000000000003</v>
      </c>
      <c r="H35">
        <v>101.35</v>
      </c>
      <c r="I35">
        <v>41.281999999999996</v>
      </c>
      <c r="J35">
        <v>3.0000000000000001E-3</v>
      </c>
      <c r="K35">
        <v>229.55</v>
      </c>
      <c r="L35">
        <v>2E-3</v>
      </c>
      <c r="M35">
        <v>52.938000000000002</v>
      </c>
      <c r="N35">
        <v>0</v>
      </c>
      <c r="O35">
        <v>0.91800000000000004</v>
      </c>
      <c r="P35">
        <v>0</v>
      </c>
      <c r="Q35">
        <v>52.92</v>
      </c>
      <c r="R35">
        <v>40.4</v>
      </c>
      <c r="S35">
        <v>13.9</v>
      </c>
    </row>
    <row r="36" spans="1:19" ht="15" thickBot="1" x14ac:dyDescent="0.35">
      <c r="A36" t="s">
        <v>30</v>
      </c>
      <c r="B36" s="1">
        <f>AVERAGE(B6:B35)</f>
        <v>162.07233333333335</v>
      </c>
      <c r="C36" s="1">
        <f>AVERAGE(C6:C35)</f>
        <v>69.88476666666665</v>
      </c>
      <c r="D36" s="1">
        <f t="shared" ref="D36:S36" si="0">AVERAGE(D6:D35)</f>
        <v>100</v>
      </c>
      <c r="E36" s="10">
        <f t="shared" si="0"/>
        <v>0.33663333333333334</v>
      </c>
      <c r="F36" s="1">
        <f t="shared" si="0"/>
        <v>79.29940000000002</v>
      </c>
      <c r="G36" s="1">
        <f t="shared" si="0"/>
        <v>5.5382666666666687</v>
      </c>
      <c r="H36" s="10">
        <f t="shared" si="0"/>
        <v>102.25336666666665</v>
      </c>
      <c r="I36" s="1">
        <f t="shared" si="0"/>
        <v>41.003800000000005</v>
      </c>
      <c r="J36" s="8">
        <f t="shared" si="0"/>
        <v>7.6666666666666691E-4</v>
      </c>
      <c r="K36" s="1">
        <f t="shared" si="0"/>
        <v>229.74070000000003</v>
      </c>
      <c r="L36" s="1">
        <f t="shared" si="0"/>
        <v>1.5933333333333338E-2</v>
      </c>
      <c r="M36" s="1">
        <f t="shared" si="0"/>
        <v>52.879733333333327</v>
      </c>
      <c r="N36" s="1">
        <f t="shared" si="0"/>
        <v>0</v>
      </c>
      <c r="O36" s="1">
        <f t="shared" si="0"/>
        <v>0.92630000000000001</v>
      </c>
      <c r="P36" s="1">
        <f t="shared" si="0"/>
        <v>0</v>
      </c>
      <c r="Q36" s="1">
        <f t="shared" si="0"/>
        <v>54.559866666666672</v>
      </c>
      <c r="R36" s="1">
        <f t="shared" si="0"/>
        <v>39.483333333333334</v>
      </c>
      <c r="S36" s="1">
        <f t="shared" si="0"/>
        <v>13.899999999999995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3439-FB86-488B-9EFE-C77AA9A513D4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0.61166666666666669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2.0200423092649062</v>
      </c>
      <c r="M2" s="8">
        <f>100*(R36/(R36+Q36))</f>
        <v>39.270528182691187</v>
      </c>
      <c r="O2" s="9">
        <f>100*((E36*C2)/((E36*C2)+(K2*E2)))</f>
        <v>13.752600067558085</v>
      </c>
      <c r="Q2" s="10">
        <f>100*J36*(1/(((C2/3.6)*E36)+((E2/3.6)*K2)))</f>
        <v>6.268838016817897</v>
      </c>
      <c r="S2" s="6">
        <v>3.54</v>
      </c>
      <c r="U2" s="10">
        <f>100*((((G36*0.001*60)*(C36-D36)*(S2/3.6)))/(((C2/3.6)*E36)+((E2/3.6)*K2)))</f>
        <v>-56.154005886132829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450</v>
      </c>
      <c r="B6">
        <v>200.89599999999999</v>
      </c>
      <c r="C6">
        <v>70.855000000000004</v>
      </c>
      <c r="D6">
        <v>100</v>
      </c>
      <c r="E6">
        <v>0.372</v>
      </c>
      <c r="F6">
        <v>81.195999999999998</v>
      </c>
      <c r="G6">
        <v>11.335000000000001</v>
      </c>
      <c r="H6">
        <v>121.41500000000001</v>
      </c>
      <c r="I6">
        <v>40.345999999999997</v>
      </c>
      <c r="J6">
        <v>2.0099999999999998</v>
      </c>
      <c r="K6">
        <v>230.142</v>
      </c>
      <c r="L6">
        <v>2.9009999999999998</v>
      </c>
      <c r="M6">
        <v>52.771000000000001</v>
      </c>
      <c r="N6">
        <v>2.923</v>
      </c>
      <c r="O6">
        <v>0.96599999999999997</v>
      </c>
      <c r="P6">
        <v>0</v>
      </c>
      <c r="Q6">
        <v>68.025999999999996</v>
      </c>
      <c r="R6">
        <v>42.8</v>
      </c>
      <c r="S6">
        <v>19.7</v>
      </c>
    </row>
    <row r="7" spans="1:21" x14ac:dyDescent="0.3">
      <c r="A7" t="s">
        <v>451</v>
      </c>
      <c r="B7">
        <v>200.76</v>
      </c>
      <c r="C7">
        <v>70.831999999999994</v>
      </c>
      <c r="D7">
        <v>100</v>
      </c>
      <c r="E7">
        <v>0.40100000000000002</v>
      </c>
      <c r="F7">
        <v>80.180999999999997</v>
      </c>
      <c r="G7">
        <v>11.125</v>
      </c>
      <c r="H7">
        <v>121.364</v>
      </c>
      <c r="I7">
        <v>40.539000000000001</v>
      </c>
      <c r="J7">
        <v>2.0099999999999998</v>
      </c>
      <c r="K7">
        <v>229.76400000000001</v>
      </c>
      <c r="L7">
        <v>2.9</v>
      </c>
      <c r="M7">
        <v>52.720999999999997</v>
      </c>
      <c r="N7">
        <v>2.923</v>
      </c>
      <c r="O7">
        <v>0.95499999999999996</v>
      </c>
      <c r="P7">
        <v>0</v>
      </c>
      <c r="Q7">
        <v>67.948999999999998</v>
      </c>
      <c r="R7">
        <v>42.8</v>
      </c>
      <c r="S7">
        <v>19.7</v>
      </c>
    </row>
    <row r="8" spans="1:21" x14ac:dyDescent="0.3">
      <c r="A8" t="s">
        <v>452</v>
      </c>
      <c r="B8">
        <v>200.60499999999999</v>
      </c>
      <c r="C8">
        <v>70.861000000000004</v>
      </c>
      <c r="D8">
        <v>100</v>
      </c>
      <c r="E8">
        <v>0.35399999999999998</v>
      </c>
      <c r="F8">
        <v>81.031999999999996</v>
      </c>
      <c r="G8">
        <v>11.935</v>
      </c>
      <c r="H8">
        <v>121.161</v>
      </c>
      <c r="I8">
        <v>40.859000000000002</v>
      </c>
      <c r="J8">
        <v>2.008</v>
      </c>
      <c r="K8">
        <v>229.94399999999999</v>
      </c>
      <c r="L8">
        <v>2.895</v>
      </c>
      <c r="M8">
        <v>52.581000000000003</v>
      </c>
      <c r="N8">
        <v>2.9220000000000002</v>
      </c>
      <c r="O8">
        <v>0.97299999999999998</v>
      </c>
      <c r="P8">
        <v>0</v>
      </c>
      <c r="Q8">
        <v>67.846999999999994</v>
      </c>
      <c r="R8">
        <v>42.8</v>
      </c>
      <c r="S8">
        <v>19.7</v>
      </c>
    </row>
    <row r="9" spans="1:21" x14ac:dyDescent="0.3">
      <c r="A9" t="s">
        <v>453</v>
      </c>
      <c r="B9">
        <v>200.09200000000001</v>
      </c>
      <c r="C9">
        <v>70.834999999999994</v>
      </c>
      <c r="D9">
        <v>100</v>
      </c>
      <c r="E9">
        <v>0.40500000000000003</v>
      </c>
      <c r="F9">
        <v>80.171000000000006</v>
      </c>
      <c r="G9">
        <v>10.964</v>
      </c>
      <c r="H9">
        <v>121.075</v>
      </c>
      <c r="I9">
        <v>40.234999999999999</v>
      </c>
      <c r="J9">
        <v>2.964</v>
      </c>
      <c r="K9">
        <v>229.68199999999999</v>
      </c>
      <c r="L9">
        <v>4.4939999999999998</v>
      </c>
      <c r="M9">
        <v>52.396000000000001</v>
      </c>
      <c r="N9">
        <v>4.5250000000000004</v>
      </c>
      <c r="O9">
        <v>0.96</v>
      </c>
      <c r="P9">
        <v>0</v>
      </c>
      <c r="Q9">
        <v>67.778999999999996</v>
      </c>
      <c r="R9">
        <v>42.9</v>
      </c>
      <c r="S9">
        <v>19.7</v>
      </c>
    </row>
    <row r="10" spans="1:21" x14ac:dyDescent="0.3">
      <c r="A10" t="s">
        <v>454</v>
      </c>
      <c r="B10">
        <v>200.517</v>
      </c>
      <c r="C10">
        <v>70.825000000000003</v>
      </c>
      <c r="D10">
        <v>100</v>
      </c>
      <c r="E10">
        <v>0.39400000000000002</v>
      </c>
      <c r="F10">
        <v>79.8</v>
      </c>
      <c r="G10">
        <v>11.122999999999999</v>
      </c>
      <c r="H10">
        <v>120.76900000000001</v>
      </c>
      <c r="I10">
        <v>40.445</v>
      </c>
      <c r="J10">
        <v>2.0070000000000001</v>
      </c>
      <c r="K10">
        <v>229.94399999999999</v>
      </c>
      <c r="L10">
        <v>2.7530000000000001</v>
      </c>
      <c r="M10">
        <v>52.5</v>
      </c>
      <c r="N10">
        <v>2.9260000000000002</v>
      </c>
      <c r="O10">
        <v>0.96799999999999997</v>
      </c>
      <c r="P10">
        <v>0</v>
      </c>
      <c r="Q10">
        <v>67.682000000000002</v>
      </c>
      <c r="R10">
        <v>42.8</v>
      </c>
      <c r="S10">
        <v>19.7</v>
      </c>
    </row>
    <row r="11" spans="1:21" x14ac:dyDescent="0.3">
      <c r="A11" t="s">
        <v>455</v>
      </c>
      <c r="B11">
        <v>200.41399999999999</v>
      </c>
      <c r="C11">
        <v>70.716999999999999</v>
      </c>
      <c r="D11">
        <v>100</v>
      </c>
      <c r="E11">
        <v>0.40300000000000002</v>
      </c>
      <c r="F11">
        <v>80.513000000000005</v>
      </c>
      <c r="G11">
        <v>11.34</v>
      </c>
      <c r="H11">
        <v>120.86</v>
      </c>
      <c r="I11">
        <v>40.707000000000001</v>
      </c>
      <c r="J11">
        <v>2.012</v>
      </c>
      <c r="K11">
        <v>230.24</v>
      </c>
      <c r="L11">
        <v>3.03</v>
      </c>
      <c r="M11">
        <v>52.673999999999999</v>
      </c>
      <c r="N11">
        <v>2.923</v>
      </c>
      <c r="O11">
        <v>0.97099999999999997</v>
      </c>
      <c r="P11">
        <v>0</v>
      </c>
      <c r="Q11">
        <v>67.587000000000003</v>
      </c>
      <c r="R11">
        <v>42.8</v>
      </c>
      <c r="S11">
        <v>19.7</v>
      </c>
    </row>
    <row r="12" spans="1:21" x14ac:dyDescent="0.3">
      <c r="A12" t="s">
        <v>456</v>
      </c>
      <c r="B12">
        <v>200.41399999999999</v>
      </c>
      <c r="C12">
        <v>70.769000000000005</v>
      </c>
      <c r="D12">
        <v>100</v>
      </c>
      <c r="E12">
        <v>0.35699999999999998</v>
      </c>
      <c r="F12">
        <v>81.325000000000003</v>
      </c>
      <c r="G12">
        <v>11.311999999999999</v>
      </c>
      <c r="H12">
        <v>120.714</v>
      </c>
      <c r="I12">
        <v>40.773000000000003</v>
      </c>
      <c r="J12">
        <v>2.0070000000000001</v>
      </c>
      <c r="K12">
        <v>229.846</v>
      </c>
      <c r="L12">
        <v>2.8380000000000001</v>
      </c>
      <c r="M12">
        <v>52.704999999999998</v>
      </c>
      <c r="N12">
        <v>2.923</v>
      </c>
      <c r="O12">
        <v>0.96099999999999997</v>
      </c>
      <c r="P12">
        <v>0</v>
      </c>
      <c r="Q12">
        <v>67.501999999999995</v>
      </c>
      <c r="R12">
        <v>42.9</v>
      </c>
      <c r="S12">
        <v>19.7</v>
      </c>
    </row>
    <row r="13" spans="1:21" x14ac:dyDescent="0.3">
      <c r="A13" t="s">
        <v>457</v>
      </c>
      <c r="B13">
        <v>200.441</v>
      </c>
      <c r="C13">
        <v>70.736000000000004</v>
      </c>
      <c r="D13">
        <v>100</v>
      </c>
      <c r="E13">
        <v>0.38200000000000001</v>
      </c>
      <c r="F13">
        <v>80.635000000000005</v>
      </c>
      <c r="G13">
        <v>10.88</v>
      </c>
      <c r="H13">
        <v>120.52200000000001</v>
      </c>
      <c r="I13">
        <v>40.415999999999997</v>
      </c>
      <c r="J13">
        <v>2.0110000000000001</v>
      </c>
      <c r="K13">
        <v>230.04300000000001</v>
      </c>
      <c r="L13">
        <v>2.8370000000000002</v>
      </c>
      <c r="M13">
        <v>52.673999999999999</v>
      </c>
      <c r="N13">
        <v>2.9239999999999999</v>
      </c>
      <c r="O13">
        <v>0.96299999999999997</v>
      </c>
      <c r="P13">
        <v>0</v>
      </c>
      <c r="Q13">
        <v>67.433000000000007</v>
      </c>
      <c r="R13">
        <v>42.9</v>
      </c>
      <c r="S13">
        <v>19.7</v>
      </c>
    </row>
    <row r="14" spans="1:21" x14ac:dyDescent="0.3">
      <c r="A14" t="s">
        <v>458</v>
      </c>
      <c r="B14">
        <v>199.91499999999999</v>
      </c>
      <c r="C14">
        <v>70.763000000000005</v>
      </c>
      <c r="D14">
        <v>100</v>
      </c>
      <c r="E14">
        <v>0.38100000000000001</v>
      </c>
      <c r="F14">
        <v>80.584999999999994</v>
      </c>
      <c r="G14">
        <v>11.237</v>
      </c>
      <c r="H14">
        <v>120.459</v>
      </c>
      <c r="I14">
        <v>40.51</v>
      </c>
      <c r="J14">
        <v>2.0070000000000001</v>
      </c>
      <c r="K14">
        <v>229.846</v>
      </c>
      <c r="L14">
        <v>2.798</v>
      </c>
      <c r="M14">
        <v>52.673999999999999</v>
      </c>
      <c r="N14">
        <v>2.9220000000000002</v>
      </c>
      <c r="O14">
        <v>0.96199999999999997</v>
      </c>
      <c r="P14">
        <v>0</v>
      </c>
      <c r="Q14">
        <v>67.335999999999999</v>
      </c>
      <c r="R14">
        <v>42.9</v>
      </c>
      <c r="S14">
        <v>19.7</v>
      </c>
    </row>
    <row r="15" spans="1:21" x14ac:dyDescent="0.3">
      <c r="A15" t="s">
        <v>459</v>
      </c>
      <c r="B15">
        <v>199.84899999999999</v>
      </c>
      <c r="C15">
        <v>70.712999999999994</v>
      </c>
      <c r="D15">
        <v>100</v>
      </c>
      <c r="E15">
        <v>0.36</v>
      </c>
      <c r="F15">
        <v>79.652000000000001</v>
      </c>
      <c r="G15">
        <v>10.744</v>
      </c>
      <c r="H15">
        <v>120.205</v>
      </c>
      <c r="I15">
        <v>40.780999999999999</v>
      </c>
      <c r="J15">
        <v>2.0110000000000001</v>
      </c>
      <c r="K15">
        <v>229.928</v>
      </c>
      <c r="L15">
        <v>2.7970000000000002</v>
      </c>
      <c r="M15">
        <v>52.710999999999999</v>
      </c>
      <c r="N15">
        <v>2.92</v>
      </c>
      <c r="O15">
        <v>0.95</v>
      </c>
      <c r="P15">
        <v>0</v>
      </c>
      <c r="Q15">
        <v>67.266999999999996</v>
      </c>
      <c r="R15">
        <v>42.9</v>
      </c>
      <c r="S15">
        <v>19.7</v>
      </c>
    </row>
    <row r="16" spans="1:21" x14ac:dyDescent="0.3">
      <c r="A16" t="s">
        <v>460</v>
      </c>
      <c r="B16">
        <v>199.678</v>
      </c>
      <c r="C16">
        <v>70.712999999999994</v>
      </c>
      <c r="D16">
        <v>100</v>
      </c>
      <c r="E16">
        <v>0.41399999999999998</v>
      </c>
      <c r="F16">
        <v>80.415000000000006</v>
      </c>
      <c r="G16">
        <v>10.327999999999999</v>
      </c>
      <c r="H16">
        <v>120.292</v>
      </c>
      <c r="I16">
        <v>40.665999999999997</v>
      </c>
      <c r="J16">
        <v>2.0059999999999998</v>
      </c>
      <c r="K16">
        <v>229.76400000000001</v>
      </c>
      <c r="L16">
        <v>2.8039999999999998</v>
      </c>
      <c r="M16">
        <v>52.655999999999999</v>
      </c>
      <c r="N16">
        <v>2.9260000000000002</v>
      </c>
      <c r="O16">
        <v>0.95599999999999996</v>
      </c>
      <c r="P16">
        <v>0</v>
      </c>
      <c r="Q16">
        <v>67.159000000000006</v>
      </c>
      <c r="R16">
        <v>42.9</v>
      </c>
      <c r="S16">
        <v>19.7</v>
      </c>
    </row>
    <row r="17" spans="1:19" x14ac:dyDescent="0.3">
      <c r="A17" t="s">
        <v>461</v>
      </c>
      <c r="B17">
        <v>199.48599999999999</v>
      </c>
      <c r="C17">
        <v>70.748999999999995</v>
      </c>
      <c r="D17">
        <v>100</v>
      </c>
      <c r="E17">
        <v>0.35899999999999999</v>
      </c>
      <c r="F17">
        <v>79.573999999999998</v>
      </c>
      <c r="G17">
        <v>11.053000000000001</v>
      </c>
      <c r="H17">
        <v>120.301</v>
      </c>
      <c r="I17">
        <v>40.445</v>
      </c>
      <c r="J17">
        <v>2.0110000000000001</v>
      </c>
      <c r="K17">
        <v>229.96100000000001</v>
      </c>
      <c r="L17">
        <v>2.8079999999999998</v>
      </c>
      <c r="M17">
        <v>52.667999999999999</v>
      </c>
      <c r="N17">
        <v>2.923</v>
      </c>
      <c r="O17">
        <v>0.96699999999999997</v>
      </c>
      <c r="P17">
        <v>0</v>
      </c>
      <c r="Q17">
        <v>67.081000000000003</v>
      </c>
      <c r="R17">
        <v>42.9</v>
      </c>
      <c r="S17">
        <v>19.7</v>
      </c>
    </row>
    <row r="18" spans="1:19" x14ac:dyDescent="0.3">
      <c r="A18" t="s">
        <v>462</v>
      </c>
      <c r="B18">
        <v>199.232</v>
      </c>
      <c r="C18">
        <v>70.712999999999994</v>
      </c>
      <c r="D18">
        <v>100</v>
      </c>
      <c r="E18">
        <v>0.4</v>
      </c>
      <c r="F18">
        <v>80.594999999999999</v>
      </c>
      <c r="G18">
        <v>10.8</v>
      </c>
      <c r="H18">
        <v>119.908</v>
      </c>
      <c r="I18">
        <v>40.476999999999997</v>
      </c>
      <c r="J18">
        <v>2.0049999999999999</v>
      </c>
      <c r="K18">
        <v>229.74700000000001</v>
      </c>
      <c r="L18">
        <v>2.8109999999999999</v>
      </c>
      <c r="M18">
        <v>52.637999999999998</v>
      </c>
      <c r="N18">
        <v>2.9239999999999999</v>
      </c>
      <c r="O18">
        <v>0.96299999999999997</v>
      </c>
      <c r="P18">
        <v>0</v>
      </c>
      <c r="Q18">
        <v>66.980999999999995</v>
      </c>
      <c r="R18">
        <v>42.9</v>
      </c>
      <c r="S18">
        <v>19.7</v>
      </c>
    </row>
    <row r="19" spans="1:19" x14ac:dyDescent="0.3">
      <c r="A19" t="s">
        <v>463</v>
      </c>
      <c r="B19">
        <v>199.179</v>
      </c>
      <c r="C19">
        <v>70.671000000000006</v>
      </c>
      <c r="D19">
        <v>100</v>
      </c>
      <c r="E19">
        <v>0.36299999999999999</v>
      </c>
      <c r="F19">
        <v>80.162000000000006</v>
      </c>
      <c r="G19">
        <v>10.385999999999999</v>
      </c>
      <c r="H19">
        <v>119.85</v>
      </c>
      <c r="I19">
        <v>40.723999999999997</v>
      </c>
      <c r="J19">
        <v>2.0089999999999999</v>
      </c>
      <c r="K19">
        <v>229.94399999999999</v>
      </c>
      <c r="L19">
        <v>2.8639999999999999</v>
      </c>
      <c r="M19">
        <v>52.715000000000003</v>
      </c>
      <c r="N19">
        <v>2.9209999999999998</v>
      </c>
      <c r="O19">
        <v>0.96099999999999997</v>
      </c>
      <c r="P19">
        <v>0</v>
      </c>
      <c r="Q19">
        <v>66.915999999999997</v>
      </c>
      <c r="R19">
        <v>43</v>
      </c>
      <c r="S19">
        <v>19.7</v>
      </c>
    </row>
    <row r="20" spans="1:19" x14ac:dyDescent="0.3">
      <c r="A20" t="s">
        <v>464</v>
      </c>
      <c r="B20">
        <v>198.84700000000001</v>
      </c>
      <c r="C20">
        <v>70.742999999999995</v>
      </c>
      <c r="D20">
        <v>100</v>
      </c>
      <c r="E20">
        <v>0.36</v>
      </c>
      <c r="F20">
        <v>78.775000000000006</v>
      </c>
      <c r="G20">
        <v>10.321999999999999</v>
      </c>
      <c r="H20">
        <v>119.861</v>
      </c>
      <c r="I20">
        <v>40.802</v>
      </c>
      <c r="J20">
        <v>2.0070000000000001</v>
      </c>
      <c r="K20">
        <v>229.73099999999999</v>
      </c>
      <c r="L20">
        <v>2.883</v>
      </c>
      <c r="M20">
        <v>52.67</v>
      </c>
      <c r="N20">
        <v>2.9209999999999998</v>
      </c>
      <c r="O20">
        <v>0.95399999999999996</v>
      </c>
      <c r="P20">
        <v>0</v>
      </c>
      <c r="Q20">
        <v>66.804000000000002</v>
      </c>
      <c r="R20">
        <v>43</v>
      </c>
      <c r="S20">
        <v>19.7</v>
      </c>
    </row>
    <row r="21" spans="1:19" x14ac:dyDescent="0.3">
      <c r="A21" t="s">
        <v>465</v>
      </c>
      <c r="B21">
        <v>198.58099999999999</v>
      </c>
      <c r="C21">
        <v>70.650999999999996</v>
      </c>
      <c r="D21">
        <v>100</v>
      </c>
      <c r="E21">
        <v>0.39600000000000002</v>
      </c>
      <c r="F21">
        <v>79.704999999999998</v>
      </c>
      <c r="G21">
        <v>10.465</v>
      </c>
      <c r="H21">
        <v>120.024</v>
      </c>
      <c r="I21">
        <v>40.252000000000002</v>
      </c>
      <c r="J21">
        <v>2.012</v>
      </c>
      <c r="K21">
        <v>229.94399999999999</v>
      </c>
      <c r="L21">
        <v>2.903</v>
      </c>
      <c r="M21">
        <v>52.703000000000003</v>
      </c>
      <c r="N21">
        <v>2.923</v>
      </c>
      <c r="O21">
        <v>0.95899999999999996</v>
      </c>
      <c r="P21">
        <v>0</v>
      </c>
      <c r="Q21">
        <v>66.710999999999999</v>
      </c>
      <c r="R21">
        <v>43.1</v>
      </c>
      <c r="S21">
        <v>19.7</v>
      </c>
    </row>
    <row r="22" spans="1:19" x14ac:dyDescent="0.3">
      <c r="A22" t="s">
        <v>466</v>
      </c>
      <c r="B22">
        <v>198.40600000000001</v>
      </c>
      <c r="C22">
        <v>70.614999999999995</v>
      </c>
      <c r="D22">
        <v>100</v>
      </c>
      <c r="E22">
        <v>0.35399999999999998</v>
      </c>
      <c r="F22">
        <v>80.727000000000004</v>
      </c>
      <c r="G22">
        <v>10.916</v>
      </c>
      <c r="H22">
        <v>119.88</v>
      </c>
      <c r="I22">
        <v>40.642000000000003</v>
      </c>
      <c r="J22">
        <v>2.008</v>
      </c>
      <c r="K22">
        <v>229.74700000000001</v>
      </c>
      <c r="L22">
        <v>2.8980000000000001</v>
      </c>
      <c r="M22">
        <v>52.692</v>
      </c>
      <c r="N22">
        <v>2.9249999999999998</v>
      </c>
      <c r="O22">
        <v>0.95699999999999996</v>
      </c>
      <c r="P22">
        <v>0</v>
      </c>
      <c r="Q22">
        <v>66.649000000000001</v>
      </c>
      <c r="R22">
        <v>43.1</v>
      </c>
      <c r="S22">
        <v>19.7</v>
      </c>
    </row>
    <row r="23" spans="1:19" x14ac:dyDescent="0.3">
      <c r="A23" t="s">
        <v>467</v>
      </c>
      <c r="B23">
        <v>198.21199999999999</v>
      </c>
      <c r="C23">
        <v>70.628</v>
      </c>
      <c r="D23">
        <v>100</v>
      </c>
      <c r="E23">
        <v>0.38700000000000001</v>
      </c>
      <c r="F23">
        <v>79.643000000000001</v>
      </c>
      <c r="G23">
        <v>10.208</v>
      </c>
      <c r="H23">
        <v>119.733</v>
      </c>
      <c r="I23">
        <v>40.654000000000003</v>
      </c>
      <c r="J23">
        <v>2.012</v>
      </c>
      <c r="K23">
        <v>230.142</v>
      </c>
      <c r="L23">
        <v>2.9039999999999999</v>
      </c>
      <c r="M23">
        <v>52.637999999999998</v>
      </c>
      <c r="N23">
        <v>2.915</v>
      </c>
      <c r="O23">
        <v>0.94699999999999995</v>
      </c>
      <c r="P23">
        <v>0</v>
      </c>
      <c r="Q23">
        <v>66.555999999999997</v>
      </c>
      <c r="R23">
        <v>43.2</v>
      </c>
      <c r="S23">
        <v>19.7</v>
      </c>
    </row>
    <row r="24" spans="1:19" x14ac:dyDescent="0.3">
      <c r="A24" t="s">
        <v>468</v>
      </c>
      <c r="B24">
        <v>198.3</v>
      </c>
      <c r="C24">
        <v>70.578999999999994</v>
      </c>
      <c r="D24">
        <v>100</v>
      </c>
      <c r="E24">
        <v>0.39100000000000001</v>
      </c>
      <c r="F24">
        <v>79.311000000000007</v>
      </c>
      <c r="G24">
        <v>10.134</v>
      </c>
      <c r="H24">
        <v>119.729</v>
      </c>
      <c r="I24">
        <v>40.802</v>
      </c>
      <c r="J24">
        <v>2.008</v>
      </c>
      <c r="K24">
        <v>229.76400000000001</v>
      </c>
      <c r="L24">
        <v>2.8980000000000001</v>
      </c>
      <c r="M24">
        <v>52.658000000000001</v>
      </c>
      <c r="N24">
        <v>2.92</v>
      </c>
      <c r="O24">
        <v>0.94499999999999995</v>
      </c>
      <c r="P24">
        <v>0</v>
      </c>
      <c r="Q24">
        <v>66.472999999999999</v>
      </c>
      <c r="R24">
        <v>43.2</v>
      </c>
      <c r="S24">
        <v>19.7</v>
      </c>
    </row>
    <row r="25" spans="1:19" x14ac:dyDescent="0.3">
      <c r="A25" t="s">
        <v>469</v>
      </c>
      <c r="B25">
        <v>198.053</v>
      </c>
      <c r="C25">
        <v>70.611999999999995</v>
      </c>
      <c r="D25">
        <v>100</v>
      </c>
      <c r="E25">
        <v>0.36699999999999999</v>
      </c>
      <c r="F25">
        <v>80.227000000000004</v>
      </c>
      <c r="G25">
        <v>9.9060000000000006</v>
      </c>
      <c r="H25">
        <v>119.702</v>
      </c>
      <c r="I25">
        <v>40.973999999999997</v>
      </c>
      <c r="J25">
        <v>2.0110000000000001</v>
      </c>
      <c r="K25">
        <v>230.15799999999999</v>
      </c>
      <c r="L25">
        <v>2.9020000000000001</v>
      </c>
      <c r="M25">
        <v>52.652000000000001</v>
      </c>
      <c r="N25">
        <v>2.9260000000000002</v>
      </c>
      <c r="O25">
        <v>0.94399999999999995</v>
      </c>
      <c r="P25">
        <v>0</v>
      </c>
      <c r="Q25">
        <v>66.367999999999995</v>
      </c>
      <c r="R25">
        <v>43.2</v>
      </c>
      <c r="S25">
        <v>19.7</v>
      </c>
    </row>
    <row r="26" spans="1:19" x14ac:dyDescent="0.3">
      <c r="A26" t="s">
        <v>470</v>
      </c>
      <c r="B26">
        <v>198.18799999999999</v>
      </c>
      <c r="C26">
        <v>70.608000000000004</v>
      </c>
      <c r="D26">
        <v>100</v>
      </c>
      <c r="E26">
        <v>0.36699999999999999</v>
      </c>
      <c r="F26">
        <v>79.143000000000001</v>
      </c>
      <c r="G26">
        <v>9.8239999999999998</v>
      </c>
      <c r="H26">
        <v>119.568</v>
      </c>
      <c r="I26">
        <v>40.366</v>
      </c>
      <c r="J26">
        <v>2.0070000000000001</v>
      </c>
      <c r="K26">
        <v>229.78</v>
      </c>
      <c r="L26">
        <v>2.9</v>
      </c>
      <c r="M26">
        <v>52.676000000000002</v>
      </c>
      <c r="N26">
        <v>2.9239999999999999</v>
      </c>
      <c r="O26">
        <v>0.96099999999999997</v>
      </c>
      <c r="P26">
        <v>0</v>
      </c>
      <c r="Q26">
        <v>66.283000000000001</v>
      </c>
      <c r="R26">
        <v>43.4</v>
      </c>
      <c r="S26">
        <v>19.7</v>
      </c>
    </row>
    <row r="27" spans="1:19" x14ac:dyDescent="0.3">
      <c r="A27" t="s">
        <v>471</v>
      </c>
      <c r="B27">
        <v>197.79499999999999</v>
      </c>
      <c r="C27">
        <v>70.625</v>
      </c>
      <c r="D27">
        <v>100</v>
      </c>
      <c r="E27">
        <v>0.38600000000000001</v>
      </c>
      <c r="F27">
        <v>80.450999999999993</v>
      </c>
      <c r="G27">
        <v>10.218</v>
      </c>
      <c r="H27">
        <v>119.29600000000001</v>
      </c>
      <c r="I27">
        <v>40.595999999999997</v>
      </c>
      <c r="J27">
        <v>2.008</v>
      </c>
      <c r="K27">
        <v>230.09200000000001</v>
      </c>
      <c r="L27">
        <v>2.9060000000000001</v>
      </c>
      <c r="M27">
        <v>52.667999999999999</v>
      </c>
      <c r="N27">
        <v>2.9239999999999999</v>
      </c>
      <c r="O27">
        <v>0.95</v>
      </c>
      <c r="P27">
        <v>0</v>
      </c>
      <c r="Q27">
        <v>66.171000000000006</v>
      </c>
      <c r="R27">
        <v>43.4</v>
      </c>
      <c r="S27">
        <v>19.7</v>
      </c>
    </row>
    <row r="28" spans="1:19" x14ac:dyDescent="0.3">
      <c r="A28" t="s">
        <v>472</v>
      </c>
      <c r="B28">
        <v>197.72399999999999</v>
      </c>
      <c r="C28">
        <v>70.620999999999995</v>
      </c>
      <c r="D28">
        <v>100</v>
      </c>
      <c r="E28">
        <v>0.36</v>
      </c>
      <c r="F28">
        <v>79.429000000000002</v>
      </c>
      <c r="G28">
        <v>9.7110000000000003</v>
      </c>
      <c r="H28">
        <v>119.51900000000001</v>
      </c>
      <c r="I28">
        <v>40.642000000000003</v>
      </c>
      <c r="J28">
        <v>2.0089999999999999</v>
      </c>
      <c r="K28">
        <v>229.74700000000001</v>
      </c>
      <c r="L28">
        <v>2.9039999999999999</v>
      </c>
      <c r="M28">
        <v>52.814</v>
      </c>
      <c r="N28">
        <v>2.915</v>
      </c>
      <c r="O28">
        <v>0.95699999999999996</v>
      </c>
      <c r="P28">
        <v>0</v>
      </c>
      <c r="Q28">
        <v>66.09</v>
      </c>
      <c r="R28">
        <v>43.5</v>
      </c>
      <c r="S28">
        <v>19.7</v>
      </c>
    </row>
    <row r="29" spans="1:19" x14ac:dyDescent="0.3">
      <c r="A29" t="s">
        <v>473</v>
      </c>
      <c r="B29">
        <v>197.81</v>
      </c>
      <c r="C29">
        <v>70.597999999999999</v>
      </c>
      <c r="D29">
        <v>100</v>
      </c>
      <c r="E29">
        <v>0.376</v>
      </c>
      <c r="F29">
        <v>81.111000000000004</v>
      </c>
      <c r="G29">
        <v>10.11</v>
      </c>
      <c r="H29">
        <v>119.37</v>
      </c>
      <c r="I29">
        <v>40.341999999999999</v>
      </c>
      <c r="J29">
        <v>2.0099999999999998</v>
      </c>
      <c r="K29">
        <v>230.07599999999999</v>
      </c>
      <c r="L29">
        <v>2.9009999999999998</v>
      </c>
      <c r="M29">
        <v>52.654000000000003</v>
      </c>
      <c r="N29">
        <v>2.9220000000000002</v>
      </c>
      <c r="O29">
        <v>0.95899999999999996</v>
      </c>
      <c r="P29">
        <v>0</v>
      </c>
      <c r="Q29">
        <v>65.994</v>
      </c>
      <c r="R29">
        <v>43.6</v>
      </c>
      <c r="S29">
        <v>19.7</v>
      </c>
    </row>
    <row r="30" spans="1:19" x14ac:dyDescent="0.3">
      <c r="A30" t="s">
        <v>474</v>
      </c>
      <c r="B30">
        <v>197.83099999999999</v>
      </c>
      <c r="C30">
        <v>70.584999999999994</v>
      </c>
      <c r="D30">
        <v>100</v>
      </c>
      <c r="E30">
        <v>0.39600000000000002</v>
      </c>
      <c r="F30">
        <v>81.16</v>
      </c>
      <c r="G30">
        <v>10.054</v>
      </c>
      <c r="H30">
        <v>119.438</v>
      </c>
      <c r="I30">
        <v>40.432000000000002</v>
      </c>
      <c r="J30">
        <v>2.0089999999999999</v>
      </c>
      <c r="K30">
        <v>229.714</v>
      </c>
      <c r="L30">
        <v>2.9039999999999999</v>
      </c>
      <c r="M30">
        <v>52.720999999999997</v>
      </c>
      <c r="N30">
        <v>2.919</v>
      </c>
      <c r="O30">
        <v>0.97199999999999998</v>
      </c>
      <c r="P30">
        <v>0</v>
      </c>
      <c r="Q30">
        <v>65.908000000000001</v>
      </c>
      <c r="R30">
        <v>43.6</v>
      </c>
      <c r="S30">
        <v>19.7</v>
      </c>
    </row>
    <row r="31" spans="1:19" x14ac:dyDescent="0.3">
      <c r="A31" t="s">
        <v>475</v>
      </c>
      <c r="B31">
        <v>197.50899999999999</v>
      </c>
      <c r="C31">
        <v>70.602000000000004</v>
      </c>
      <c r="D31">
        <v>100</v>
      </c>
      <c r="E31">
        <v>0.36099999999999999</v>
      </c>
      <c r="F31">
        <v>79.367000000000004</v>
      </c>
      <c r="G31">
        <v>10.045999999999999</v>
      </c>
      <c r="H31">
        <v>119.089</v>
      </c>
      <c r="I31">
        <v>40.546999999999997</v>
      </c>
      <c r="J31">
        <v>2.0070000000000001</v>
      </c>
      <c r="K31">
        <v>229.89500000000001</v>
      </c>
      <c r="L31">
        <v>2.8959999999999999</v>
      </c>
      <c r="M31">
        <v>52.682000000000002</v>
      </c>
      <c r="N31">
        <v>2.9260000000000002</v>
      </c>
      <c r="O31">
        <v>0.95099999999999996</v>
      </c>
      <c r="P31">
        <v>0</v>
      </c>
      <c r="Q31">
        <v>65.828999999999994</v>
      </c>
      <c r="R31">
        <v>43.6</v>
      </c>
      <c r="S31">
        <v>19.7</v>
      </c>
    </row>
    <row r="32" spans="1:19" x14ac:dyDescent="0.3">
      <c r="A32" t="s">
        <v>476</v>
      </c>
      <c r="B32">
        <v>197.14599999999999</v>
      </c>
      <c r="C32">
        <v>70.558999999999997</v>
      </c>
      <c r="D32">
        <v>100</v>
      </c>
      <c r="E32">
        <v>0.36499999999999999</v>
      </c>
      <c r="F32">
        <v>80.783000000000001</v>
      </c>
      <c r="G32">
        <v>10.289</v>
      </c>
      <c r="H32">
        <v>119.121</v>
      </c>
      <c r="I32">
        <v>40.534999999999997</v>
      </c>
      <c r="J32">
        <v>2.0089999999999999</v>
      </c>
      <c r="K32">
        <v>229.797</v>
      </c>
      <c r="L32">
        <v>2.8969999999999998</v>
      </c>
      <c r="M32">
        <v>52.720999999999997</v>
      </c>
      <c r="N32">
        <v>2.9279999999999999</v>
      </c>
      <c r="O32">
        <v>0.95799999999999996</v>
      </c>
      <c r="P32">
        <v>0</v>
      </c>
      <c r="Q32">
        <v>65.754999999999995</v>
      </c>
      <c r="R32">
        <v>43.7</v>
      </c>
      <c r="S32">
        <v>19.7</v>
      </c>
    </row>
    <row r="33" spans="1:19" x14ac:dyDescent="0.3">
      <c r="A33" t="s">
        <v>477</v>
      </c>
      <c r="B33">
        <v>197.03899999999999</v>
      </c>
      <c r="C33">
        <v>70.513000000000005</v>
      </c>
      <c r="D33">
        <v>100</v>
      </c>
      <c r="E33">
        <v>0.36799999999999999</v>
      </c>
      <c r="F33">
        <v>80.375</v>
      </c>
      <c r="G33">
        <v>10.218</v>
      </c>
      <c r="H33">
        <v>119.163</v>
      </c>
      <c r="I33">
        <v>40.313000000000002</v>
      </c>
      <c r="J33">
        <v>2.0019999999999998</v>
      </c>
      <c r="K33">
        <v>229.96100000000001</v>
      </c>
      <c r="L33">
        <v>2.899</v>
      </c>
      <c r="M33">
        <v>52.741</v>
      </c>
      <c r="N33">
        <v>2.9169999999999998</v>
      </c>
      <c r="O33">
        <v>0.95099999999999996</v>
      </c>
      <c r="P33">
        <v>0</v>
      </c>
      <c r="Q33">
        <v>65.638000000000005</v>
      </c>
      <c r="R33">
        <v>43.7</v>
      </c>
      <c r="S33">
        <v>19.7</v>
      </c>
    </row>
    <row r="34" spans="1:19" x14ac:dyDescent="0.3">
      <c r="A34" t="s">
        <v>478</v>
      </c>
      <c r="B34">
        <v>197.035</v>
      </c>
      <c r="C34">
        <v>70.466999999999999</v>
      </c>
      <c r="D34">
        <v>100</v>
      </c>
      <c r="E34">
        <v>0.36199999999999999</v>
      </c>
      <c r="F34">
        <v>80.847999999999999</v>
      </c>
      <c r="G34">
        <v>10.130000000000001</v>
      </c>
      <c r="H34">
        <v>119.334</v>
      </c>
      <c r="I34">
        <v>40.761000000000003</v>
      </c>
      <c r="J34">
        <v>2.0110000000000001</v>
      </c>
      <c r="K34">
        <v>230.10900000000001</v>
      </c>
      <c r="L34">
        <v>2.9009999999999998</v>
      </c>
      <c r="M34">
        <v>52.859000000000002</v>
      </c>
      <c r="N34">
        <v>2.919</v>
      </c>
      <c r="O34">
        <v>0.96699999999999997</v>
      </c>
      <c r="P34">
        <v>0</v>
      </c>
      <c r="Q34">
        <v>65.563999999999993</v>
      </c>
      <c r="R34">
        <v>43.8</v>
      </c>
      <c r="S34">
        <v>19.7</v>
      </c>
    </row>
    <row r="35" spans="1:19" ht="15" thickBot="1" x14ac:dyDescent="0.35">
      <c r="A35" t="s">
        <v>479</v>
      </c>
      <c r="B35">
        <v>196.833</v>
      </c>
      <c r="C35">
        <v>70.474000000000004</v>
      </c>
      <c r="D35">
        <v>100</v>
      </c>
      <c r="E35">
        <v>0.38100000000000001</v>
      </c>
      <c r="F35">
        <v>80.983000000000004</v>
      </c>
      <c r="G35">
        <v>9.8040000000000003</v>
      </c>
      <c r="H35">
        <v>119.018</v>
      </c>
      <c r="I35">
        <v>41.158999999999999</v>
      </c>
      <c r="J35">
        <v>2.0059999999999998</v>
      </c>
      <c r="K35">
        <v>229.87899999999999</v>
      </c>
      <c r="L35">
        <v>2.8919999999999999</v>
      </c>
      <c r="M35">
        <v>52.692</v>
      </c>
      <c r="N35">
        <v>2.92</v>
      </c>
      <c r="O35">
        <v>0.94599999999999995</v>
      </c>
      <c r="P35">
        <v>0</v>
      </c>
      <c r="Q35">
        <v>65.454999999999998</v>
      </c>
      <c r="R35">
        <v>43.8</v>
      </c>
      <c r="S35">
        <v>19.7</v>
      </c>
    </row>
    <row r="36" spans="1:19" ht="15" thickBot="1" x14ac:dyDescent="0.35">
      <c r="A36" t="s">
        <v>30</v>
      </c>
      <c r="B36" s="1">
        <f>AVERAGE(B6:B35)</f>
        <v>198.89289999999997</v>
      </c>
      <c r="C36" s="1">
        <f>AVERAGE(C6:C35)</f>
        <v>70.674400000000006</v>
      </c>
      <c r="D36" s="1">
        <f t="shared" ref="D36:S36" si="0">AVERAGE(D6:D35)</f>
        <v>100</v>
      </c>
      <c r="E36" s="10">
        <f t="shared" si="0"/>
        <v>0.37740000000000001</v>
      </c>
      <c r="F36" s="1">
        <f t="shared" si="0"/>
        <v>80.262466666666697</v>
      </c>
      <c r="G36" s="1">
        <f t="shared" si="0"/>
        <v>10.563899999999999</v>
      </c>
      <c r="H36" s="10">
        <f t="shared" si="0"/>
        <v>120.02466666666665</v>
      </c>
      <c r="I36" s="1">
        <f t="shared" si="0"/>
        <v>40.591400000000014</v>
      </c>
      <c r="J36" s="8">
        <f t="shared" si="0"/>
        <v>2.0404666666666671</v>
      </c>
      <c r="K36" s="1">
        <f t="shared" si="0"/>
        <v>229.91103333333334</v>
      </c>
      <c r="L36" s="1">
        <f t="shared" si="0"/>
        <v>2.9305999999999996</v>
      </c>
      <c r="M36" s="1">
        <f t="shared" si="0"/>
        <v>52.677499999999995</v>
      </c>
      <c r="N36" s="1">
        <f t="shared" si="0"/>
        <v>2.9756333333333336</v>
      </c>
      <c r="O36" s="1">
        <f t="shared" si="0"/>
        <v>0.95846666666666658</v>
      </c>
      <c r="P36" s="1">
        <f t="shared" si="0"/>
        <v>0</v>
      </c>
      <c r="Q36" s="1">
        <f t="shared" si="0"/>
        <v>66.75976666666665</v>
      </c>
      <c r="R36" s="1">
        <f t="shared" si="0"/>
        <v>43.169999999999987</v>
      </c>
      <c r="S36" s="1">
        <f t="shared" si="0"/>
        <v>19.7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6735-4B54-4A39-A768-3CA65E762702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36" sqref="H36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0.61078703703703707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2.2435610061212699</v>
      </c>
      <c r="M2" s="8">
        <f>100*(R36/(R36+Q36))</f>
        <v>39.464305790233077</v>
      </c>
      <c r="O2" s="9">
        <f>100*((E36*C2)/((E36*C2)+(K2*E2)))</f>
        <v>13.513497707282115</v>
      </c>
      <c r="Q2" s="10">
        <f>100*J36*(1/(((C2/3.6)*E36)+((E2/3.6)*K2)))</f>
        <v>11.530972999802524</v>
      </c>
      <c r="S2" s="6">
        <v>3.54</v>
      </c>
      <c r="U2" s="10">
        <f>100*((((G36*0.001*60)*(C36-D36)*(S2/3.6)))/(((C2/3.6)*E36)+((E2/3.6)*K2)))</f>
        <v>-84.051388480839705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420</v>
      </c>
      <c r="B6">
        <v>238.02</v>
      </c>
      <c r="C6">
        <v>71.83</v>
      </c>
      <c r="D6">
        <v>100</v>
      </c>
      <c r="E6">
        <v>0.40799999999999997</v>
      </c>
      <c r="F6">
        <v>82.08</v>
      </c>
      <c r="G6">
        <v>19.831</v>
      </c>
      <c r="H6">
        <v>133.47</v>
      </c>
      <c r="I6">
        <v>40.945999999999998</v>
      </c>
      <c r="J6">
        <v>4.1559999999999997</v>
      </c>
      <c r="K6">
        <v>229.96100000000001</v>
      </c>
      <c r="L6">
        <v>6.0430000000000001</v>
      </c>
      <c r="M6">
        <v>52.648000000000003</v>
      </c>
      <c r="N6">
        <v>5.9429999999999996</v>
      </c>
      <c r="O6">
        <v>0.98599999999999999</v>
      </c>
      <c r="P6">
        <v>0</v>
      </c>
      <c r="Q6">
        <v>74.301000000000002</v>
      </c>
      <c r="R6">
        <v>47.4</v>
      </c>
      <c r="S6">
        <v>24.7</v>
      </c>
    </row>
    <row r="7" spans="1:21" x14ac:dyDescent="0.3">
      <c r="A7" t="s">
        <v>421</v>
      </c>
      <c r="B7">
        <v>237.821</v>
      </c>
      <c r="C7">
        <v>71.804000000000002</v>
      </c>
      <c r="D7">
        <v>100</v>
      </c>
      <c r="E7">
        <v>0.39500000000000002</v>
      </c>
      <c r="F7">
        <v>80.713999999999999</v>
      </c>
      <c r="G7">
        <v>19.824000000000002</v>
      </c>
      <c r="H7">
        <v>133.333</v>
      </c>
      <c r="I7">
        <v>41.031999999999996</v>
      </c>
      <c r="J7">
        <v>4.1580000000000004</v>
      </c>
      <c r="K7">
        <v>229.928</v>
      </c>
      <c r="L7">
        <v>6.0519999999999996</v>
      </c>
      <c r="M7">
        <v>52.610999999999997</v>
      </c>
      <c r="N7">
        <v>5.9420000000000002</v>
      </c>
      <c r="O7">
        <v>0.98399999999999999</v>
      </c>
      <c r="P7">
        <v>0</v>
      </c>
      <c r="Q7">
        <v>74.254999999999995</v>
      </c>
      <c r="R7">
        <v>47.5</v>
      </c>
      <c r="S7">
        <v>24.7</v>
      </c>
    </row>
    <row r="8" spans="1:21" x14ac:dyDescent="0.3">
      <c r="A8" t="s">
        <v>422</v>
      </c>
      <c r="B8">
        <v>237.315</v>
      </c>
      <c r="C8">
        <v>71.765000000000001</v>
      </c>
      <c r="D8">
        <v>100</v>
      </c>
      <c r="E8">
        <v>0.42399999999999999</v>
      </c>
      <c r="F8">
        <v>81.384</v>
      </c>
      <c r="G8">
        <v>19.675000000000001</v>
      </c>
      <c r="H8">
        <v>133.05600000000001</v>
      </c>
      <c r="I8">
        <v>40.875999999999998</v>
      </c>
      <c r="J8">
        <v>4.1589999999999998</v>
      </c>
      <c r="K8">
        <v>230.01</v>
      </c>
      <c r="L8">
        <v>6.0460000000000003</v>
      </c>
      <c r="M8">
        <v>52.609000000000002</v>
      </c>
      <c r="N8">
        <v>5.944</v>
      </c>
      <c r="O8">
        <v>0.98499999999999999</v>
      </c>
      <c r="P8">
        <v>0</v>
      </c>
      <c r="Q8">
        <v>74.188999999999993</v>
      </c>
      <c r="R8">
        <v>47.5</v>
      </c>
      <c r="S8">
        <v>24.7</v>
      </c>
    </row>
    <row r="9" spans="1:21" x14ac:dyDescent="0.3">
      <c r="A9" t="s">
        <v>423</v>
      </c>
      <c r="B9">
        <v>237.47300000000001</v>
      </c>
      <c r="C9">
        <v>71.704999999999998</v>
      </c>
      <c r="D9">
        <v>100</v>
      </c>
      <c r="E9">
        <v>0.39800000000000002</v>
      </c>
      <c r="F9">
        <v>81.709000000000003</v>
      </c>
      <c r="G9">
        <v>19.507000000000001</v>
      </c>
      <c r="H9">
        <v>133.22399999999999</v>
      </c>
      <c r="I9">
        <v>40.723999999999997</v>
      </c>
      <c r="J9">
        <v>4.1589999999999998</v>
      </c>
      <c r="K9">
        <v>229.89500000000001</v>
      </c>
      <c r="L9">
        <v>6.0490000000000004</v>
      </c>
      <c r="M9">
        <v>52.587000000000003</v>
      </c>
      <c r="N9">
        <v>5.9459999999999997</v>
      </c>
      <c r="O9">
        <v>0.98</v>
      </c>
      <c r="P9">
        <v>0</v>
      </c>
      <c r="Q9">
        <v>74.131</v>
      </c>
      <c r="R9">
        <v>47.5</v>
      </c>
      <c r="S9">
        <v>24.7</v>
      </c>
    </row>
    <row r="10" spans="1:21" x14ac:dyDescent="0.3">
      <c r="A10" t="s">
        <v>424</v>
      </c>
      <c r="B10">
        <v>237.24100000000001</v>
      </c>
      <c r="C10">
        <v>71.816999999999993</v>
      </c>
      <c r="D10">
        <v>100</v>
      </c>
      <c r="E10">
        <v>0.40699999999999997</v>
      </c>
      <c r="F10">
        <v>81.400000000000006</v>
      </c>
      <c r="G10">
        <v>19.364000000000001</v>
      </c>
      <c r="H10">
        <v>133.215</v>
      </c>
      <c r="I10">
        <v>40.707000000000001</v>
      </c>
      <c r="J10">
        <v>4.157</v>
      </c>
      <c r="K10">
        <v>229.94399999999999</v>
      </c>
      <c r="L10">
        <v>6.0430000000000001</v>
      </c>
      <c r="M10">
        <v>52.579000000000001</v>
      </c>
      <c r="N10">
        <v>5.9459999999999997</v>
      </c>
      <c r="O10">
        <v>1.002</v>
      </c>
      <c r="P10">
        <v>0</v>
      </c>
      <c r="Q10">
        <v>74.102000000000004</v>
      </c>
      <c r="R10">
        <v>47.5</v>
      </c>
      <c r="S10">
        <v>24.7</v>
      </c>
    </row>
    <row r="11" spans="1:21" x14ac:dyDescent="0.3">
      <c r="A11" t="s">
        <v>425</v>
      </c>
      <c r="B11">
        <v>237.292</v>
      </c>
      <c r="C11">
        <v>71.742000000000004</v>
      </c>
      <c r="D11">
        <v>100</v>
      </c>
      <c r="E11">
        <v>0.44500000000000001</v>
      </c>
      <c r="F11">
        <v>80.47</v>
      </c>
      <c r="G11">
        <v>19.114999999999998</v>
      </c>
      <c r="H11">
        <v>133.745</v>
      </c>
      <c r="I11">
        <v>41.281999999999996</v>
      </c>
      <c r="J11">
        <v>4.1589999999999998</v>
      </c>
      <c r="K11">
        <v>229.928</v>
      </c>
      <c r="L11">
        <v>6.0519999999999996</v>
      </c>
      <c r="M11">
        <v>52.514000000000003</v>
      </c>
      <c r="N11">
        <v>5.9409999999999998</v>
      </c>
      <c r="O11">
        <v>0.97699999999999998</v>
      </c>
      <c r="P11">
        <v>0</v>
      </c>
      <c r="Q11">
        <v>74.021000000000001</v>
      </c>
      <c r="R11">
        <v>47.5</v>
      </c>
      <c r="S11">
        <v>24.7</v>
      </c>
    </row>
    <row r="12" spans="1:21" x14ac:dyDescent="0.3">
      <c r="A12" t="s">
        <v>426</v>
      </c>
      <c r="B12">
        <v>236.86</v>
      </c>
      <c r="C12">
        <v>71.760999999999996</v>
      </c>
      <c r="D12">
        <v>100</v>
      </c>
      <c r="E12">
        <v>0.4</v>
      </c>
      <c r="F12">
        <v>81.228999999999999</v>
      </c>
      <c r="G12">
        <v>18.920999999999999</v>
      </c>
      <c r="H12">
        <v>133.09700000000001</v>
      </c>
      <c r="I12">
        <v>41.081000000000003</v>
      </c>
      <c r="J12">
        <v>4.1559999999999997</v>
      </c>
      <c r="K12">
        <v>229.91200000000001</v>
      </c>
      <c r="L12">
        <v>6.0439999999999996</v>
      </c>
      <c r="M12">
        <v>52.606999999999999</v>
      </c>
      <c r="N12">
        <v>5.944</v>
      </c>
      <c r="O12">
        <v>0.98699999999999999</v>
      </c>
      <c r="P12">
        <v>0</v>
      </c>
      <c r="Q12">
        <v>73.97</v>
      </c>
      <c r="R12">
        <v>47.5</v>
      </c>
      <c r="S12">
        <v>24.7</v>
      </c>
    </row>
    <row r="13" spans="1:21" x14ac:dyDescent="0.3">
      <c r="A13" t="s">
        <v>427</v>
      </c>
      <c r="B13">
        <v>236.34100000000001</v>
      </c>
      <c r="C13">
        <v>71.738</v>
      </c>
      <c r="D13">
        <v>100</v>
      </c>
      <c r="E13">
        <v>0.39500000000000002</v>
      </c>
      <c r="F13">
        <v>80.391999999999996</v>
      </c>
      <c r="G13">
        <v>18.957000000000001</v>
      </c>
      <c r="H13">
        <v>133.00299999999999</v>
      </c>
      <c r="I13">
        <v>41.228999999999999</v>
      </c>
      <c r="J13">
        <v>4.16</v>
      </c>
      <c r="K13">
        <v>230.04300000000001</v>
      </c>
      <c r="L13">
        <v>6.05</v>
      </c>
      <c r="M13">
        <v>52.531999999999996</v>
      </c>
      <c r="N13">
        <v>5.9429999999999996</v>
      </c>
      <c r="O13">
        <v>0.98799999999999999</v>
      </c>
      <c r="P13">
        <v>0</v>
      </c>
      <c r="Q13">
        <v>73.914000000000001</v>
      </c>
      <c r="R13">
        <v>47.5</v>
      </c>
      <c r="S13">
        <v>24.7</v>
      </c>
    </row>
    <row r="14" spans="1:21" x14ac:dyDescent="0.3">
      <c r="A14" t="s">
        <v>428</v>
      </c>
      <c r="B14">
        <v>236.577</v>
      </c>
      <c r="C14">
        <v>71.807000000000002</v>
      </c>
      <c r="D14">
        <v>100</v>
      </c>
      <c r="E14">
        <v>0.442</v>
      </c>
      <c r="F14">
        <v>79.888999999999996</v>
      </c>
      <c r="G14">
        <v>18.773</v>
      </c>
      <c r="H14">
        <v>133.072</v>
      </c>
      <c r="I14">
        <v>41.093000000000004</v>
      </c>
      <c r="J14">
        <v>4.1520000000000001</v>
      </c>
      <c r="K14">
        <v>229.69800000000001</v>
      </c>
      <c r="L14">
        <v>6.0339999999999998</v>
      </c>
      <c r="M14">
        <v>52.593000000000004</v>
      </c>
      <c r="N14">
        <v>5.9509999999999996</v>
      </c>
      <c r="O14">
        <v>0.97599999999999998</v>
      </c>
      <c r="P14">
        <v>0</v>
      </c>
      <c r="Q14">
        <v>73.852000000000004</v>
      </c>
      <c r="R14">
        <v>47.6</v>
      </c>
      <c r="S14">
        <v>24.7</v>
      </c>
    </row>
    <row r="15" spans="1:21" x14ac:dyDescent="0.3">
      <c r="A15" t="s">
        <v>429</v>
      </c>
      <c r="B15">
        <v>236.751</v>
      </c>
      <c r="C15">
        <v>71.724999999999994</v>
      </c>
      <c r="D15">
        <v>100</v>
      </c>
      <c r="E15">
        <v>0.40100000000000002</v>
      </c>
      <c r="F15">
        <v>81.031999999999996</v>
      </c>
      <c r="G15">
        <v>18.991</v>
      </c>
      <c r="H15">
        <v>132.78399999999999</v>
      </c>
      <c r="I15">
        <v>41.055999999999997</v>
      </c>
      <c r="J15">
        <v>4.16</v>
      </c>
      <c r="K15">
        <v>229.928</v>
      </c>
      <c r="L15">
        <v>6.0519999999999996</v>
      </c>
      <c r="M15">
        <v>52.55</v>
      </c>
      <c r="N15">
        <v>5.9379999999999997</v>
      </c>
      <c r="O15">
        <v>0.97799999999999998</v>
      </c>
      <c r="P15">
        <v>0</v>
      </c>
      <c r="Q15">
        <v>73.759</v>
      </c>
      <c r="R15">
        <v>47.6</v>
      </c>
      <c r="S15">
        <v>24.7</v>
      </c>
    </row>
    <row r="16" spans="1:21" x14ac:dyDescent="0.3">
      <c r="A16" t="s">
        <v>430</v>
      </c>
      <c r="B16">
        <v>236.666</v>
      </c>
      <c r="C16">
        <v>71.760999999999996</v>
      </c>
      <c r="D16">
        <v>100</v>
      </c>
      <c r="E16">
        <v>0.42299999999999999</v>
      </c>
      <c r="F16">
        <v>82.385999999999996</v>
      </c>
      <c r="G16">
        <v>19.248000000000001</v>
      </c>
      <c r="H16">
        <v>132.87899999999999</v>
      </c>
      <c r="I16">
        <v>40.97</v>
      </c>
      <c r="J16">
        <v>4.1529999999999996</v>
      </c>
      <c r="K16">
        <v>229.91200000000001</v>
      </c>
      <c r="L16">
        <v>6.173</v>
      </c>
      <c r="M16">
        <v>52.543999999999997</v>
      </c>
      <c r="N16">
        <v>5.9480000000000004</v>
      </c>
      <c r="O16">
        <v>0.98899999999999999</v>
      </c>
      <c r="P16">
        <v>0</v>
      </c>
      <c r="Q16">
        <v>73.706000000000003</v>
      </c>
      <c r="R16">
        <v>47.7</v>
      </c>
      <c r="S16">
        <v>24.7</v>
      </c>
    </row>
    <row r="17" spans="1:19" x14ac:dyDescent="0.3">
      <c r="A17" t="s">
        <v>431</v>
      </c>
      <c r="B17">
        <v>236.02</v>
      </c>
      <c r="C17">
        <v>71.676000000000002</v>
      </c>
      <c r="D17">
        <v>100</v>
      </c>
      <c r="E17">
        <v>0.41399999999999998</v>
      </c>
      <c r="F17">
        <v>81.587000000000003</v>
      </c>
      <c r="G17">
        <v>18.867000000000001</v>
      </c>
      <c r="H17">
        <v>132.70400000000001</v>
      </c>
      <c r="I17">
        <v>40.887999999999998</v>
      </c>
      <c r="J17">
        <v>4.1609999999999996</v>
      </c>
      <c r="K17">
        <v>229.994</v>
      </c>
      <c r="L17">
        <v>6.202</v>
      </c>
      <c r="M17">
        <v>52.633000000000003</v>
      </c>
      <c r="N17">
        <v>5.9489999999999998</v>
      </c>
      <c r="O17">
        <v>0.995</v>
      </c>
      <c r="P17">
        <v>0</v>
      </c>
      <c r="Q17">
        <v>73.646000000000001</v>
      </c>
      <c r="R17">
        <v>47.7</v>
      </c>
      <c r="S17">
        <v>24.7</v>
      </c>
    </row>
    <row r="18" spans="1:19" x14ac:dyDescent="0.3">
      <c r="A18" t="s">
        <v>432</v>
      </c>
      <c r="B18">
        <v>236.10599999999999</v>
      </c>
      <c r="C18">
        <v>71.698999999999998</v>
      </c>
      <c r="D18">
        <v>100</v>
      </c>
      <c r="E18">
        <v>0.39500000000000002</v>
      </c>
      <c r="F18">
        <v>81.555000000000007</v>
      </c>
      <c r="G18">
        <v>18.559000000000001</v>
      </c>
      <c r="H18">
        <v>132.75700000000001</v>
      </c>
      <c r="I18">
        <v>40.761000000000003</v>
      </c>
      <c r="J18">
        <v>4.1529999999999996</v>
      </c>
      <c r="K18">
        <v>229.846</v>
      </c>
      <c r="L18">
        <v>6.1559999999999997</v>
      </c>
      <c r="M18">
        <v>52.582999999999998</v>
      </c>
      <c r="N18">
        <v>5.9470000000000001</v>
      </c>
      <c r="O18">
        <v>0.98799999999999999</v>
      </c>
      <c r="P18">
        <v>0</v>
      </c>
      <c r="Q18">
        <v>73.581999999999994</v>
      </c>
      <c r="R18">
        <v>47.8</v>
      </c>
      <c r="S18">
        <v>24.7</v>
      </c>
    </row>
    <row r="19" spans="1:19" x14ac:dyDescent="0.3">
      <c r="A19" t="s">
        <v>433</v>
      </c>
      <c r="B19">
        <v>235.822</v>
      </c>
      <c r="C19">
        <v>71.63</v>
      </c>
      <c r="D19">
        <v>100</v>
      </c>
      <c r="E19">
        <v>0.44400000000000001</v>
      </c>
      <c r="F19">
        <v>81.882999999999996</v>
      </c>
      <c r="G19">
        <v>17.978000000000002</v>
      </c>
      <c r="H19">
        <v>132.661</v>
      </c>
      <c r="I19">
        <v>40.838999999999999</v>
      </c>
      <c r="J19">
        <v>4.1609999999999996</v>
      </c>
      <c r="K19">
        <v>230.10900000000001</v>
      </c>
      <c r="L19">
        <v>6.1319999999999997</v>
      </c>
      <c r="M19">
        <v>52.594999999999999</v>
      </c>
      <c r="N19">
        <v>5.9480000000000004</v>
      </c>
      <c r="O19">
        <v>0.97799999999999998</v>
      </c>
      <c r="P19">
        <v>0</v>
      </c>
      <c r="Q19">
        <v>73.521000000000001</v>
      </c>
      <c r="R19">
        <v>47.8</v>
      </c>
      <c r="S19">
        <v>24.7</v>
      </c>
    </row>
    <row r="20" spans="1:19" x14ac:dyDescent="0.3">
      <c r="A20" t="s">
        <v>434</v>
      </c>
      <c r="B20">
        <v>235.82</v>
      </c>
      <c r="C20">
        <v>71.662999999999997</v>
      </c>
      <c r="D20">
        <v>100</v>
      </c>
      <c r="E20">
        <v>0.39</v>
      </c>
      <c r="F20">
        <v>81.325000000000003</v>
      </c>
      <c r="G20">
        <v>18.471</v>
      </c>
      <c r="H20">
        <v>132.625</v>
      </c>
      <c r="I20">
        <v>41.225000000000001</v>
      </c>
      <c r="J20">
        <v>4.1529999999999996</v>
      </c>
      <c r="K20">
        <v>229.69800000000001</v>
      </c>
      <c r="L20">
        <v>5.9870000000000001</v>
      </c>
      <c r="M20">
        <v>52.667999999999999</v>
      </c>
      <c r="N20">
        <v>5.9450000000000003</v>
      </c>
      <c r="O20">
        <v>0.97899999999999998</v>
      </c>
      <c r="P20">
        <v>0</v>
      </c>
      <c r="Q20">
        <v>73.462000000000003</v>
      </c>
      <c r="R20">
        <v>47.8</v>
      </c>
      <c r="S20">
        <v>24.7</v>
      </c>
    </row>
    <row r="21" spans="1:19" x14ac:dyDescent="0.3">
      <c r="A21" t="s">
        <v>435</v>
      </c>
      <c r="B21">
        <v>235.84800000000001</v>
      </c>
      <c r="C21">
        <v>71.614000000000004</v>
      </c>
      <c r="D21">
        <v>100</v>
      </c>
      <c r="E21">
        <v>0.438</v>
      </c>
      <c r="F21">
        <v>82.135999999999996</v>
      </c>
      <c r="G21">
        <v>17.669</v>
      </c>
      <c r="H21">
        <v>132.53700000000001</v>
      </c>
      <c r="I21">
        <v>41.052</v>
      </c>
      <c r="J21">
        <v>4.1609999999999996</v>
      </c>
      <c r="K21">
        <v>230.142</v>
      </c>
      <c r="L21">
        <v>6.1150000000000002</v>
      </c>
      <c r="M21">
        <v>52.643999999999998</v>
      </c>
      <c r="N21">
        <v>5.9429999999999996</v>
      </c>
      <c r="O21">
        <v>0.98799999999999999</v>
      </c>
      <c r="P21">
        <v>0</v>
      </c>
      <c r="Q21">
        <v>73.399000000000001</v>
      </c>
      <c r="R21">
        <v>47.9</v>
      </c>
      <c r="S21">
        <v>24.7</v>
      </c>
    </row>
    <row r="22" spans="1:19" x14ac:dyDescent="0.3">
      <c r="A22" t="s">
        <v>436</v>
      </c>
      <c r="B22">
        <v>235.12700000000001</v>
      </c>
      <c r="C22">
        <v>71.573999999999998</v>
      </c>
      <c r="D22">
        <v>100</v>
      </c>
      <c r="E22">
        <v>0.40400000000000003</v>
      </c>
      <c r="F22">
        <v>81.269000000000005</v>
      </c>
      <c r="G22">
        <v>18.117999999999999</v>
      </c>
      <c r="H22">
        <v>132.393</v>
      </c>
      <c r="I22">
        <v>41.167000000000002</v>
      </c>
      <c r="J22">
        <v>4.1529999999999996</v>
      </c>
      <c r="K22">
        <v>229.82900000000001</v>
      </c>
      <c r="L22">
        <v>6.12</v>
      </c>
      <c r="M22">
        <v>52.695999999999998</v>
      </c>
      <c r="N22">
        <v>5.95</v>
      </c>
      <c r="O22">
        <v>0.98</v>
      </c>
      <c r="P22">
        <v>0</v>
      </c>
      <c r="Q22">
        <v>73.338999999999999</v>
      </c>
      <c r="R22">
        <v>47.9</v>
      </c>
      <c r="S22">
        <v>24.7</v>
      </c>
    </row>
    <row r="23" spans="1:19" x14ac:dyDescent="0.3">
      <c r="A23" t="s">
        <v>437</v>
      </c>
      <c r="B23">
        <v>235.029</v>
      </c>
      <c r="C23">
        <v>71.573999999999998</v>
      </c>
      <c r="D23">
        <v>100</v>
      </c>
      <c r="E23">
        <v>0.433</v>
      </c>
      <c r="F23">
        <v>80.778999999999996</v>
      </c>
      <c r="G23">
        <v>17.881</v>
      </c>
      <c r="H23">
        <v>132.404</v>
      </c>
      <c r="I23">
        <v>41.228999999999999</v>
      </c>
      <c r="J23">
        <v>4.1619999999999999</v>
      </c>
      <c r="K23">
        <v>231.768</v>
      </c>
      <c r="L23">
        <v>6.1760000000000002</v>
      </c>
      <c r="M23">
        <v>52.65</v>
      </c>
      <c r="N23">
        <v>5.9489999999999998</v>
      </c>
      <c r="O23">
        <v>0.996</v>
      </c>
      <c r="P23">
        <v>0</v>
      </c>
      <c r="Q23">
        <v>73.266999999999996</v>
      </c>
      <c r="R23">
        <v>47.9</v>
      </c>
      <c r="S23">
        <v>24.7</v>
      </c>
    </row>
    <row r="24" spans="1:19" x14ac:dyDescent="0.3">
      <c r="A24" t="s">
        <v>438</v>
      </c>
      <c r="B24">
        <v>234.80099999999999</v>
      </c>
      <c r="C24">
        <v>71.570999999999998</v>
      </c>
      <c r="D24">
        <v>100</v>
      </c>
      <c r="E24">
        <v>0.42199999999999999</v>
      </c>
      <c r="F24">
        <v>81.078000000000003</v>
      </c>
      <c r="G24">
        <v>17.388000000000002</v>
      </c>
      <c r="H24">
        <v>132.51499999999999</v>
      </c>
      <c r="I24">
        <v>41.143000000000001</v>
      </c>
      <c r="J24">
        <v>4.1539999999999999</v>
      </c>
      <c r="K24">
        <v>229.86199999999999</v>
      </c>
      <c r="L24">
        <v>6.1529999999999996</v>
      </c>
      <c r="M24">
        <v>52.69</v>
      </c>
      <c r="N24">
        <v>5.9509999999999996</v>
      </c>
      <c r="O24">
        <v>0.97399999999999998</v>
      </c>
      <c r="P24">
        <v>0</v>
      </c>
      <c r="Q24">
        <v>73.194000000000003</v>
      </c>
      <c r="R24">
        <v>48</v>
      </c>
      <c r="S24">
        <v>24.7</v>
      </c>
    </row>
    <row r="25" spans="1:19" x14ac:dyDescent="0.3">
      <c r="A25" t="s">
        <v>439</v>
      </c>
      <c r="B25">
        <v>235.15799999999999</v>
      </c>
      <c r="C25">
        <v>71.603999999999999</v>
      </c>
      <c r="D25">
        <v>100</v>
      </c>
      <c r="E25">
        <v>0.42399999999999999</v>
      </c>
      <c r="F25">
        <v>80.917000000000002</v>
      </c>
      <c r="G25">
        <v>17.550999999999998</v>
      </c>
      <c r="H25">
        <v>132.23400000000001</v>
      </c>
      <c r="I25">
        <v>40.854999999999997</v>
      </c>
      <c r="J25">
        <v>4.1589999999999998</v>
      </c>
      <c r="K25">
        <v>230.142</v>
      </c>
      <c r="L25">
        <v>6.1580000000000004</v>
      </c>
      <c r="M25">
        <v>52.682000000000002</v>
      </c>
      <c r="N25">
        <v>5.9470000000000001</v>
      </c>
      <c r="O25">
        <v>0.97799999999999998</v>
      </c>
      <c r="P25">
        <v>0</v>
      </c>
      <c r="Q25">
        <v>73.144000000000005</v>
      </c>
      <c r="R25">
        <v>48</v>
      </c>
      <c r="S25">
        <v>24.7</v>
      </c>
    </row>
    <row r="26" spans="1:19" x14ac:dyDescent="0.3">
      <c r="A26" t="s">
        <v>440</v>
      </c>
      <c r="B26">
        <v>235.15</v>
      </c>
      <c r="C26">
        <v>71.656000000000006</v>
      </c>
      <c r="D26">
        <v>100</v>
      </c>
      <c r="E26">
        <v>0.38500000000000001</v>
      </c>
      <c r="F26">
        <v>81.265000000000001</v>
      </c>
      <c r="G26">
        <v>17.411000000000001</v>
      </c>
      <c r="H26">
        <v>132.06800000000001</v>
      </c>
      <c r="I26">
        <v>40.814</v>
      </c>
      <c r="J26">
        <v>4.1529999999999996</v>
      </c>
      <c r="K26">
        <v>229.87899999999999</v>
      </c>
      <c r="L26">
        <v>6.1459999999999999</v>
      </c>
      <c r="M26">
        <v>52.698</v>
      </c>
      <c r="N26">
        <v>5.95</v>
      </c>
      <c r="O26">
        <v>0.97599999999999998</v>
      </c>
      <c r="P26">
        <v>0</v>
      </c>
      <c r="Q26">
        <v>73.052999999999997</v>
      </c>
      <c r="R26">
        <v>48</v>
      </c>
      <c r="S26">
        <v>24.7</v>
      </c>
    </row>
    <row r="27" spans="1:19" x14ac:dyDescent="0.3">
      <c r="A27" t="s">
        <v>441</v>
      </c>
      <c r="B27">
        <v>234.79900000000001</v>
      </c>
      <c r="C27">
        <v>71.599999999999994</v>
      </c>
      <c r="D27">
        <v>100</v>
      </c>
      <c r="E27">
        <v>0.42499999999999999</v>
      </c>
      <c r="F27">
        <v>79.018000000000001</v>
      </c>
      <c r="G27">
        <v>17.164999999999999</v>
      </c>
      <c r="H27">
        <v>132.446</v>
      </c>
      <c r="I27">
        <v>41.048000000000002</v>
      </c>
      <c r="J27">
        <v>4.16</v>
      </c>
      <c r="K27">
        <v>230.25700000000001</v>
      </c>
      <c r="L27">
        <v>6.157</v>
      </c>
      <c r="M27">
        <v>52.606999999999999</v>
      </c>
      <c r="N27">
        <v>5.9489999999999998</v>
      </c>
      <c r="O27">
        <v>0.98299999999999998</v>
      </c>
      <c r="P27">
        <v>0</v>
      </c>
      <c r="Q27">
        <v>72.986000000000004</v>
      </c>
      <c r="R27">
        <v>48</v>
      </c>
      <c r="S27">
        <v>24.7</v>
      </c>
    </row>
    <row r="28" spans="1:19" x14ac:dyDescent="0.3">
      <c r="A28" t="s">
        <v>442</v>
      </c>
      <c r="B28">
        <v>234.65100000000001</v>
      </c>
      <c r="C28">
        <v>71.576999999999998</v>
      </c>
      <c r="D28">
        <v>100</v>
      </c>
      <c r="E28">
        <v>0.39800000000000002</v>
      </c>
      <c r="F28">
        <v>81.778000000000006</v>
      </c>
      <c r="G28">
        <v>17.387</v>
      </c>
      <c r="H28">
        <v>132.40799999999999</v>
      </c>
      <c r="I28">
        <v>41.125999999999998</v>
      </c>
      <c r="J28">
        <v>4.1559999999999997</v>
      </c>
      <c r="K28">
        <v>229.928</v>
      </c>
      <c r="L28">
        <v>5.97</v>
      </c>
      <c r="M28">
        <v>52.561999999999998</v>
      </c>
      <c r="N28">
        <v>5.9429999999999996</v>
      </c>
      <c r="O28">
        <v>0.98799999999999999</v>
      </c>
      <c r="P28">
        <v>0</v>
      </c>
      <c r="Q28">
        <v>72.935000000000002</v>
      </c>
      <c r="R28">
        <v>48.1</v>
      </c>
      <c r="S28">
        <v>24.7</v>
      </c>
    </row>
    <row r="29" spans="1:19" x14ac:dyDescent="0.3">
      <c r="A29" t="s">
        <v>443</v>
      </c>
      <c r="B29">
        <v>234.04499999999999</v>
      </c>
      <c r="C29">
        <v>71.584000000000003</v>
      </c>
      <c r="D29">
        <v>100</v>
      </c>
      <c r="E29">
        <v>0.42299999999999999</v>
      </c>
      <c r="F29">
        <v>82.040999999999997</v>
      </c>
      <c r="G29">
        <v>16.954999999999998</v>
      </c>
      <c r="H29">
        <v>132.10499999999999</v>
      </c>
      <c r="I29">
        <v>40.904000000000003</v>
      </c>
      <c r="J29">
        <v>4.1559999999999997</v>
      </c>
      <c r="K29">
        <v>230.01</v>
      </c>
      <c r="L29">
        <v>6.0129999999999999</v>
      </c>
      <c r="M29">
        <v>52.661999999999999</v>
      </c>
      <c r="N29">
        <v>5.9450000000000003</v>
      </c>
      <c r="O29">
        <v>1.008</v>
      </c>
      <c r="P29">
        <v>0</v>
      </c>
      <c r="Q29">
        <v>72.861000000000004</v>
      </c>
      <c r="R29">
        <v>48.2</v>
      </c>
      <c r="S29">
        <v>24.7</v>
      </c>
    </row>
    <row r="30" spans="1:19" x14ac:dyDescent="0.3">
      <c r="A30" t="s">
        <v>444</v>
      </c>
      <c r="B30">
        <v>234.143</v>
      </c>
      <c r="C30">
        <v>71.540999999999997</v>
      </c>
      <c r="D30">
        <v>100</v>
      </c>
      <c r="E30">
        <v>0.39500000000000002</v>
      </c>
      <c r="F30">
        <v>82.132999999999996</v>
      </c>
      <c r="G30">
        <v>17.152999999999999</v>
      </c>
      <c r="H30">
        <v>132.26499999999999</v>
      </c>
      <c r="I30">
        <v>40.805999999999997</v>
      </c>
      <c r="J30">
        <v>4.157</v>
      </c>
      <c r="K30">
        <v>229.994</v>
      </c>
      <c r="L30">
        <v>6.0510000000000002</v>
      </c>
      <c r="M30">
        <v>52.569000000000003</v>
      </c>
      <c r="N30">
        <v>5.9429999999999996</v>
      </c>
      <c r="O30">
        <v>0.98499999999999999</v>
      </c>
      <c r="P30">
        <v>0</v>
      </c>
      <c r="Q30">
        <v>72.784999999999997</v>
      </c>
      <c r="R30">
        <v>48.2</v>
      </c>
      <c r="S30">
        <v>24.7</v>
      </c>
    </row>
    <row r="31" spans="1:19" x14ac:dyDescent="0.3">
      <c r="A31" t="s">
        <v>445</v>
      </c>
      <c r="B31">
        <v>234.08</v>
      </c>
      <c r="C31">
        <v>71.603999999999999</v>
      </c>
      <c r="D31">
        <v>100</v>
      </c>
      <c r="E31">
        <v>0.39100000000000001</v>
      </c>
      <c r="F31">
        <v>80.870999999999995</v>
      </c>
      <c r="G31">
        <v>16.789000000000001</v>
      </c>
      <c r="H31">
        <v>132.11799999999999</v>
      </c>
      <c r="I31">
        <v>40.826000000000001</v>
      </c>
      <c r="J31">
        <v>4.1589999999999998</v>
      </c>
      <c r="K31">
        <v>230.17400000000001</v>
      </c>
      <c r="L31">
        <v>6.0439999999999996</v>
      </c>
      <c r="M31">
        <v>52.658000000000001</v>
      </c>
      <c r="N31">
        <v>5.9489999999999998</v>
      </c>
      <c r="O31">
        <v>0.98699999999999999</v>
      </c>
      <c r="P31">
        <v>0</v>
      </c>
      <c r="Q31">
        <v>72.724000000000004</v>
      </c>
      <c r="R31">
        <v>48.2</v>
      </c>
      <c r="S31">
        <v>24.7</v>
      </c>
    </row>
    <row r="32" spans="1:19" x14ac:dyDescent="0.3">
      <c r="A32" t="s">
        <v>446</v>
      </c>
      <c r="B32">
        <v>233.99600000000001</v>
      </c>
      <c r="C32">
        <v>71.599999999999994</v>
      </c>
      <c r="D32">
        <v>100</v>
      </c>
      <c r="E32">
        <v>0.39400000000000002</v>
      </c>
      <c r="F32">
        <v>81.347999999999999</v>
      </c>
      <c r="G32">
        <v>16.405999999999999</v>
      </c>
      <c r="H32">
        <v>132.21899999999999</v>
      </c>
      <c r="I32">
        <v>40.896000000000001</v>
      </c>
      <c r="J32">
        <v>4.1539999999999999</v>
      </c>
      <c r="K32">
        <v>229.797</v>
      </c>
      <c r="L32">
        <v>6.0430000000000001</v>
      </c>
      <c r="M32">
        <v>52.570999999999998</v>
      </c>
      <c r="N32">
        <v>5.9459999999999997</v>
      </c>
      <c r="O32">
        <v>0.97899999999999998</v>
      </c>
      <c r="P32">
        <v>0</v>
      </c>
      <c r="Q32">
        <v>72.646000000000001</v>
      </c>
      <c r="R32">
        <v>48.3</v>
      </c>
      <c r="S32">
        <v>24.7</v>
      </c>
    </row>
    <row r="33" spans="1:19" x14ac:dyDescent="0.3">
      <c r="A33" t="s">
        <v>447</v>
      </c>
      <c r="B33">
        <v>233.797</v>
      </c>
      <c r="C33">
        <v>71.573999999999998</v>
      </c>
      <c r="D33">
        <v>100</v>
      </c>
      <c r="E33">
        <v>0.40100000000000002</v>
      </c>
      <c r="F33">
        <v>81.456000000000003</v>
      </c>
      <c r="G33">
        <v>16.318999999999999</v>
      </c>
      <c r="H33">
        <v>132.09200000000001</v>
      </c>
      <c r="I33">
        <v>41.015000000000001</v>
      </c>
      <c r="J33">
        <v>4.1559999999999997</v>
      </c>
      <c r="K33">
        <v>230.125</v>
      </c>
      <c r="L33">
        <v>6.0430000000000001</v>
      </c>
      <c r="M33">
        <v>52.642000000000003</v>
      </c>
      <c r="N33">
        <v>5.9489999999999998</v>
      </c>
      <c r="O33">
        <v>0.98099999999999998</v>
      </c>
      <c r="P33">
        <v>0</v>
      </c>
      <c r="Q33">
        <v>72.584000000000003</v>
      </c>
      <c r="R33">
        <v>48.3</v>
      </c>
      <c r="S33">
        <v>24.7</v>
      </c>
    </row>
    <row r="34" spans="1:19" x14ac:dyDescent="0.3">
      <c r="A34" t="s">
        <v>448</v>
      </c>
      <c r="B34">
        <v>234.11699999999999</v>
      </c>
      <c r="C34">
        <v>71.558000000000007</v>
      </c>
      <c r="D34">
        <v>100</v>
      </c>
      <c r="E34">
        <v>0.39500000000000002</v>
      </c>
      <c r="F34">
        <v>81.456000000000003</v>
      </c>
      <c r="G34">
        <v>16.577000000000002</v>
      </c>
      <c r="H34">
        <v>132.155</v>
      </c>
      <c r="I34">
        <v>41.162999999999997</v>
      </c>
      <c r="J34">
        <v>4.1559999999999997</v>
      </c>
      <c r="K34">
        <v>229.797</v>
      </c>
      <c r="L34">
        <v>6.0430000000000001</v>
      </c>
      <c r="M34">
        <v>52.683999999999997</v>
      </c>
      <c r="N34">
        <v>5.9450000000000003</v>
      </c>
      <c r="O34">
        <v>0.97499999999999998</v>
      </c>
      <c r="P34">
        <v>0</v>
      </c>
      <c r="Q34">
        <v>72.507999999999996</v>
      </c>
      <c r="R34">
        <v>48.4</v>
      </c>
      <c r="S34">
        <v>24.7</v>
      </c>
    </row>
    <row r="35" spans="1:19" ht="15" thickBot="1" x14ac:dyDescent="0.35">
      <c r="A35" t="s">
        <v>449</v>
      </c>
      <c r="B35">
        <v>233.726</v>
      </c>
      <c r="C35">
        <v>71.492000000000004</v>
      </c>
      <c r="D35">
        <v>100</v>
      </c>
      <c r="E35">
        <v>0.41299999999999998</v>
      </c>
      <c r="F35">
        <v>81.134</v>
      </c>
      <c r="G35">
        <v>16.844999999999999</v>
      </c>
      <c r="H35">
        <v>131.94300000000001</v>
      </c>
      <c r="I35">
        <v>41.220999999999997</v>
      </c>
      <c r="J35">
        <v>4.1580000000000004</v>
      </c>
      <c r="K35">
        <v>230.059</v>
      </c>
      <c r="L35">
        <v>6.0410000000000004</v>
      </c>
      <c r="M35">
        <v>52.622999999999998</v>
      </c>
      <c r="N35">
        <v>5.9470000000000001</v>
      </c>
      <c r="O35">
        <v>0.996</v>
      </c>
      <c r="P35">
        <v>0</v>
      </c>
      <c r="Q35">
        <v>72.435000000000002</v>
      </c>
      <c r="R35">
        <v>48.4</v>
      </c>
      <c r="S35">
        <v>24.7</v>
      </c>
    </row>
    <row r="36" spans="1:19" ht="15" thickBot="1" x14ac:dyDescent="0.35">
      <c r="A36" t="s">
        <v>30</v>
      </c>
      <c r="B36" s="1">
        <f>AVERAGE(B6:B35)</f>
        <v>235.68640000000002</v>
      </c>
      <c r="C36" s="1">
        <f>AVERAGE(C6:C35)</f>
        <v>71.661533333333352</v>
      </c>
      <c r="D36" s="1">
        <f t="shared" ref="D36:S36" si="0">AVERAGE(D6:D35)</f>
        <v>100</v>
      </c>
      <c r="E36" s="10">
        <f t="shared" si="0"/>
        <v>0.41073333333333323</v>
      </c>
      <c r="F36" s="1">
        <f t="shared" si="0"/>
        <v>81.257133333333343</v>
      </c>
      <c r="G36" s="1">
        <f t="shared" si="0"/>
        <v>18.123166666666666</v>
      </c>
      <c r="H36" s="10">
        <f t="shared" si="0"/>
        <v>132.65090000000001</v>
      </c>
      <c r="I36" s="1">
        <f t="shared" si="0"/>
        <v>40.99913333333334</v>
      </c>
      <c r="J36" s="8">
        <f t="shared" si="0"/>
        <v>4.1570333333333345</v>
      </c>
      <c r="K36" s="1">
        <f t="shared" si="0"/>
        <v>230.01896666666659</v>
      </c>
      <c r="L36" s="1">
        <f t="shared" si="0"/>
        <v>6.079600000000001</v>
      </c>
      <c r="M36" s="1">
        <f t="shared" si="0"/>
        <v>52.616366666666657</v>
      </c>
      <c r="N36" s="1">
        <f t="shared" si="0"/>
        <v>5.9460333333333342</v>
      </c>
      <c r="O36" s="1">
        <f t="shared" si="0"/>
        <v>0.98486666666666656</v>
      </c>
      <c r="P36" s="1">
        <f t="shared" si="0"/>
        <v>0</v>
      </c>
      <c r="Q36" s="1">
        <f t="shared" si="0"/>
        <v>73.409033333333326</v>
      </c>
      <c r="R36" s="1">
        <f t="shared" si="0"/>
        <v>47.856666666666669</v>
      </c>
      <c r="S36" s="1">
        <f t="shared" si="0"/>
        <v>24.700000000000006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899-2364-4380-AAB9-C501F8775C63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0.61011574074074071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2.467248485125153</v>
      </c>
      <c r="M2" s="8">
        <f>100*(R36/(R36+Q36))</f>
        <v>40.605877221915307</v>
      </c>
      <c r="O2" s="9">
        <f>100*((E36*C2)/((E36*C2)+(K2*E2)))</f>
        <v>12.716577435931683</v>
      </c>
      <c r="Q2" s="10">
        <f>100*J36*(1/(((C2/3.6)*E36)+((E2/3.6)*K2)))</f>
        <v>14.984444409256431</v>
      </c>
      <c r="S2" s="6">
        <v>3.54</v>
      </c>
      <c r="U2" s="10">
        <f>100*((((G36*0.001*60)*(C36-D36)*(S2/3.6)))/(((C2/3.6)*E36)+((E2/3.6)*K2)))</f>
        <v>-108.02421406276339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390</v>
      </c>
      <c r="B6">
        <v>266.35899999999998</v>
      </c>
      <c r="C6">
        <v>72.546999999999997</v>
      </c>
      <c r="D6">
        <v>100</v>
      </c>
      <c r="E6">
        <v>0.44900000000000001</v>
      </c>
      <c r="F6">
        <v>82.457999999999998</v>
      </c>
      <c r="G6">
        <v>29.010999999999999</v>
      </c>
      <c r="H6">
        <v>141.87200000000001</v>
      </c>
      <c r="I6">
        <v>40.67</v>
      </c>
      <c r="J6">
        <v>5.8869999999999996</v>
      </c>
      <c r="K6">
        <v>230.15799999999999</v>
      </c>
      <c r="L6">
        <v>8.5389999999999997</v>
      </c>
      <c r="M6">
        <v>52.564</v>
      </c>
      <c r="N6">
        <v>8.4499999999999993</v>
      </c>
      <c r="O6">
        <v>1.002</v>
      </c>
      <c r="P6">
        <v>0</v>
      </c>
      <c r="Q6">
        <v>77.634</v>
      </c>
      <c r="R6">
        <v>52.3</v>
      </c>
      <c r="S6">
        <v>29.7</v>
      </c>
    </row>
    <row r="7" spans="1:21" x14ac:dyDescent="0.3">
      <c r="A7" t="s">
        <v>391</v>
      </c>
      <c r="B7">
        <v>266.57799999999997</v>
      </c>
      <c r="C7">
        <v>72.454999999999998</v>
      </c>
      <c r="D7">
        <v>100</v>
      </c>
      <c r="E7">
        <v>0.42699999999999999</v>
      </c>
      <c r="F7">
        <v>81.433000000000007</v>
      </c>
      <c r="G7">
        <v>28.087</v>
      </c>
      <c r="H7">
        <v>142.17500000000001</v>
      </c>
      <c r="I7">
        <v>40.665999999999997</v>
      </c>
      <c r="J7">
        <v>5.8840000000000003</v>
      </c>
      <c r="K7">
        <v>230.22399999999999</v>
      </c>
      <c r="L7">
        <v>8.532</v>
      </c>
      <c r="M7">
        <v>52.54</v>
      </c>
      <c r="N7">
        <v>8.4540000000000006</v>
      </c>
      <c r="O7">
        <v>0.998</v>
      </c>
      <c r="P7">
        <v>0</v>
      </c>
      <c r="Q7">
        <v>77.566000000000003</v>
      </c>
      <c r="R7">
        <v>52.3</v>
      </c>
      <c r="S7">
        <v>29.7</v>
      </c>
    </row>
    <row r="8" spans="1:21" x14ac:dyDescent="0.3">
      <c r="A8" t="s">
        <v>392</v>
      </c>
      <c r="B8">
        <v>266.09100000000001</v>
      </c>
      <c r="C8">
        <v>72.435000000000002</v>
      </c>
      <c r="D8">
        <v>100</v>
      </c>
      <c r="E8">
        <v>0.442</v>
      </c>
      <c r="F8">
        <v>82.783000000000001</v>
      </c>
      <c r="G8">
        <v>28.001000000000001</v>
      </c>
      <c r="H8">
        <v>141.96600000000001</v>
      </c>
      <c r="I8">
        <v>40.789000000000001</v>
      </c>
      <c r="J8">
        <v>5.8920000000000003</v>
      </c>
      <c r="K8">
        <v>230.404</v>
      </c>
      <c r="L8">
        <v>8.5380000000000003</v>
      </c>
      <c r="M8">
        <v>52.545999999999999</v>
      </c>
      <c r="N8">
        <v>8.4570000000000007</v>
      </c>
      <c r="O8">
        <v>1</v>
      </c>
      <c r="P8">
        <v>0</v>
      </c>
      <c r="Q8">
        <v>77.536000000000001</v>
      </c>
      <c r="R8">
        <v>52.4</v>
      </c>
      <c r="S8">
        <v>29.7</v>
      </c>
    </row>
    <row r="9" spans="1:21" x14ac:dyDescent="0.3">
      <c r="A9" t="s">
        <v>393</v>
      </c>
      <c r="B9">
        <v>265.875</v>
      </c>
      <c r="C9">
        <v>72.468000000000004</v>
      </c>
      <c r="D9">
        <v>100</v>
      </c>
      <c r="E9">
        <v>0.45700000000000002</v>
      </c>
      <c r="F9">
        <v>83.114999999999995</v>
      </c>
      <c r="G9">
        <v>28.201000000000001</v>
      </c>
      <c r="H9">
        <v>142.02199999999999</v>
      </c>
      <c r="I9">
        <v>40.744</v>
      </c>
      <c r="J9">
        <v>5.8849999999999998</v>
      </c>
      <c r="K9">
        <v>230.10900000000001</v>
      </c>
      <c r="L9">
        <v>8.5289999999999999</v>
      </c>
      <c r="M9">
        <v>52.593000000000004</v>
      </c>
      <c r="N9">
        <v>8.4529999999999994</v>
      </c>
      <c r="O9">
        <v>1.0089999999999999</v>
      </c>
      <c r="P9">
        <v>0</v>
      </c>
      <c r="Q9">
        <v>77.522000000000006</v>
      </c>
      <c r="R9">
        <v>52.4</v>
      </c>
      <c r="S9">
        <v>29.7</v>
      </c>
    </row>
    <row r="10" spans="1:21" x14ac:dyDescent="0.3">
      <c r="A10" t="s">
        <v>394</v>
      </c>
      <c r="B10">
        <v>265.59800000000001</v>
      </c>
      <c r="C10">
        <v>72.460999999999999</v>
      </c>
      <c r="D10">
        <v>100</v>
      </c>
      <c r="E10">
        <v>0.41499999999999998</v>
      </c>
      <c r="F10">
        <v>82.582999999999998</v>
      </c>
      <c r="G10">
        <v>27.704999999999998</v>
      </c>
      <c r="H10">
        <v>142.17500000000001</v>
      </c>
      <c r="I10">
        <v>40.887999999999998</v>
      </c>
      <c r="J10">
        <v>5.89</v>
      </c>
      <c r="K10">
        <v>230.191</v>
      </c>
      <c r="L10">
        <v>8.5370000000000008</v>
      </c>
      <c r="M10">
        <v>52.475000000000001</v>
      </c>
      <c r="N10">
        <v>8.468</v>
      </c>
      <c r="O10">
        <v>0.999</v>
      </c>
      <c r="P10">
        <v>0</v>
      </c>
      <c r="Q10">
        <v>77.48</v>
      </c>
      <c r="R10">
        <v>52.4</v>
      </c>
      <c r="S10">
        <v>29.7</v>
      </c>
    </row>
    <row r="11" spans="1:21" x14ac:dyDescent="0.3">
      <c r="A11" t="s">
        <v>395</v>
      </c>
      <c r="B11">
        <v>265.39999999999998</v>
      </c>
      <c r="C11">
        <v>72.421999999999997</v>
      </c>
      <c r="D11">
        <v>100</v>
      </c>
      <c r="E11">
        <v>0.41099999999999998</v>
      </c>
      <c r="F11">
        <v>82.588999999999999</v>
      </c>
      <c r="G11">
        <v>27.288</v>
      </c>
      <c r="H11">
        <v>141.80199999999999</v>
      </c>
      <c r="I11">
        <v>40.780999999999999</v>
      </c>
      <c r="J11">
        <v>5.883</v>
      </c>
      <c r="K11">
        <v>230.01</v>
      </c>
      <c r="L11">
        <v>8.5259999999999998</v>
      </c>
      <c r="M11">
        <v>52.631</v>
      </c>
      <c r="N11">
        <v>8.452</v>
      </c>
      <c r="O11">
        <v>1.002</v>
      </c>
      <c r="P11">
        <v>0</v>
      </c>
      <c r="Q11">
        <v>77.430999999999997</v>
      </c>
      <c r="R11">
        <v>52.4</v>
      </c>
      <c r="S11">
        <v>29.7</v>
      </c>
    </row>
    <row r="12" spans="1:21" x14ac:dyDescent="0.3">
      <c r="A12" t="s">
        <v>396</v>
      </c>
      <c r="B12">
        <v>265.76400000000001</v>
      </c>
      <c r="C12">
        <v>72.418000000000006</v>
      </c>
      <c r="D12">
        <v>100</v>
      </c>
      <c r="E12">
        <v>0.434</v>
      </c>
      <c r="F12">
        <v>82.201999999999998</v>
      </c>
      <c r="G12">
        <v>27.277999999999999</v>
      </c>
      <c r="H12">
        <v>141.785</v>
      </c>
      <c r="I12">
        <v>40.33</v>
      </c>
      <c r="J12">
        <v>5.8920000000000003</v>
      </c>
      <c r="K12">
        <v>230.339</v>
      </c>
      <c r="L12">
        <v>8.5350000000000001</v>
      </c>
      <c r="M12">
        <v>52.588999999999999</v>
      </c>
      <c r="N12">
        <v>8.4589999999999996</v>
      </c>
      <c r="O12">
        <v>1.012</v>
      </c>
      <c r="P12">
        <v>0</v>
      </c>
      <c r="Q12">
        <v>77.382000000000005</v>
      </c>
      <c r="R12">
        <v>52.4</v>
      </c>
      <c r="S12">
        <v>29.7</v>
      </c>
    </row>
    <row r="13" spans="1:21" x14ac:dyDescent="0.3">
      <c r="A13" t="s">
        <v>397</v>
      </c>
      <c r="B13">
        <v>265.51799999999997</v>
      </c>
      <c r="C13">
        <v>72.415000000000006</v>
      </c>
      <c r="D13">
        <v>100</v>
      </c>
      <c r="E13">
        <v>0.45500000000000002</v>
      </c>
      <c r="F13">
        <v>82.54</v>
      </c>
      <c r="G13">
        <v>27.16</v>
      </c>
      <c r="H13">
        <v>141.77699999999999</v>
      </c>
      <c r="I13">
        <v>40.338000000000001</v>
      </c>
      <c r="J13">
        <v>5.8819999999999997</v>
      </c>
      <c r="K13">
        <v>229.928</v>
      </c>
      <c r="L13">
        <v>8.5259999999999998</v>
      </c>
      <c r="M13">
        <v>52.603000000000002</v>
      </c>
      <c r="N13">
        <v>8.4580000000000002</v>
      </c>
      <c r="O13">
        <v>1.0089999999999999</v>
      </c>
      <c r="P13">
        <v>0</v>
      </c>
      <c r="Q13">
        <v>77.340999999999994</v>
      </c>
      <c r="R13">
        <v>52.5</v>
      </c>
      <c r="S13">
        <v>29.7</v>
      </c>
    </row>
    <row r="14" spans="1:21" x14ac:dyDescent="0.3">
      <c r="A14" t="s">
        <v>398</v>
      </c>
      <c r="B14">
        <v>265.41500000000002</v>
      </c>
      <c r="C14">
        <v>72.441000000000003</v>
      </c>
      <c r="D14">
        <v>100</v>
      </c>
      <c r="E14">
        <v>0.41699999999999998</v>
      </c>
      <c r="F14">
        <v>82.763999999999996</v>
      </c>
      <c r="G14">
        <v>27.190999999999999</v>
      </c>
      <c r="H14">
        <v>141.96199999999999</v>
      </c>
      <c r="I14">
        <v>40.448999999999998</v>
      </c>
      <c r="J14">
        <v>5.891</v>
      </c>
      <c r="K14">
        <v>230.273</v>
      </c>
      <c r="L14">
        <v>8.5370000000000008</v>
      </c>
      <c r="M14">
        <v>52.576999999999998</v>
      </c>
      <c r="N14">
        <v>8.4559999999999995</v>
      </c>
      <c r="O14">
        <v>1.0129999999999999</v>
      </c>
      <c r="P14">
        <v>0</v>
      </c>
      <c r="Q14">
        <v>77.296999999999997</v>
      </c>
      <c r="R14">
        <v>52.5</v>
      </c>
      <c r="S14">
        <v>29.7</v>
      </c>
    </row>
    <row r="15" spans="1:21" x14ac:dyDescent="0.3">
      <c r="A15" t="s">
        <v>399</v>
      </c>
      <c r="B15">
        <v>265.51600000000002</v>
      </c>
      <c r="C15">
        <v>72.399000000000001</v>
      </c>
      <c r="D15">
        <v>100</v>
      </c>
      <c r="E15">
        <v>0.39800000000000002</v>
      </c>
      <c r="F15">
        <v>81.465999999999994</v>
      </c>
      <c r="G15">
        <v>26.216000000000001</v>
      </c>
      <c r="H15">
        <v>141.934</v>
      </c>
      <c r="I15">
        <v>40.378999999999998</v>
      </c>
      <c r="J15">
        <v>5.883</v>
      </c>
      <c r="K15">
        <v>230.01</v>
      </c>
      <c r="L15">
        <v>8.5169999999999995</v>
      </c>
      <c r="M15">
        <v>52.531999999999996</v>
      </c>
      <c r="N15">
        <v>8.4570000000000007</v>
      </c>
      <c r="O15">
        <v>0.99299999999999999</v>
      </c>
      <c r="P15">
        <v>0</v>
      </c>
      <c r="Q15">
        <v>77.263000000000005</v>
      </c>
      <c r="R15">
        <v>52.5</v>
      </c>
      <c r="S15">
        <v>29.7</v>
      </c>
    </row>
    <row r="16" spans="1:21" x14ac:dyDescent="0.3">
      <c r="A16" t="s">
        <v>400</v>
      </c>
      <c r="B16">
        <v>264.90899999999999</v>
      </c>
      <c r="C16">
        <v>72.424999999999997</v>
      </c>
      <c r="D16">
        <v>100</v>
      </c>
      <c r="E16">
        <v>0.43</v>
      </c>
      <c r="F16">
        <v>81.192999999999998</v>
      </c>
      <c r="G16">
        <v>26.594999999999999</v>
      </c>
      <c r="H16">
        <v>141.96799999999999</v>
      </c>
      <c r="I16">
        <v>40.609000000000002</v>
      </c>
      <c r="J16">
        <v>5.891</v>
      </c>
      <c r="K16">
        <v>230.30600000000001</v>
      </c>
      <c r="L16">
        <v>8.5340000000000007</v>
      </c>
      <c r="M16">
        <v>52.609000000000002</v>
      </c>
      <c r="N16">
        <v>8.4600000000000009</v>
      </c>
      <c r="O16">
        <v>1.0009999999999999</v>
      </c>
      <c r="P16">
        <v>0</v>
      </c>
      <c r="Q16">
        <v>77.2</v>
      </c>
      <c r="R16">
        <v>52.5</v>
      </c>
      <c r="S16">
        <v>29.7</v>
      </c>
    </row>
    <row r="17" spans="1:19" x14ac:dyDescent="0.3">
      <c r="A17" t="s">
        <v>401</v>
      </c>
      <c r="B17">
        <v>265.334</v>
      </c>
      <c r="C17">
        <v>72.352999999999994</v>
      </c>
      <c r="D17">
        <v>100</v>
      </c>
      <c r="E17">
        <v>0.439</v>
      </c>
      <c r="F17">
        <v>82.358999999999995</v>
      </c>
      <c r="G17">
        <v>26.102</v>
      </c>
      <c r="H17">
        <v>141.964</v>
      </c>
      <c r="I17">
        <v>40.731999999999999</v>
      </c>
      <c r="J17">
        <v>5.8840000000000003</v>
      </c>
      <c r="K17">
        <v>229.928</v>
      </c>
      <c r="L17">
        <v>8.5289999999999999</v>
      </c>
      <c r="M17">
        <v>52.609000000000002</v>
      </c>
      <c r="N17">
        <v>8.4540000000000006</v>
      </c>
      <c r="O17">
        <v>1.0009999999999999</v>
      </c>
      <c r="P17">
        <v>0</v>
      </c>
      <c r="Q17">
        <v>77.177999999999997</v>
      </c>
      <c r="R17">
        <v>52.6</v>
      </c>
      <c r="S17">
        <v>29.7</v>
      </c>
    </row>
    <row r="18" spans="1:19" x14ac:dyDescent="0.3">
      <c r="A18" t="s">
        <v>402</v>
      </c>
      <c r="B18">
        <v>264.96100000000001</v>
      </c>
      <c r="C18">
        <v>72.399000000000001</v>
      </c>
      <c r="D18">
        <v>100</v>
      </c>
      <c r="E18">
        <v>0.4</v>
      </c>
      <c r="F18">
        <v>82.572999999999993</v>
      </c>
      <c r="G18">
        <v>26.602</v>
      </c>
      <c r="H18">
        <v>141.876</v>
      </c>
      <c r="I18">
        <v>40.784999999999997</v>
      </c>
      <c r="J18">
        <v>5.891</v>
      </c>
      <c r="K18">
        <v>230.25700000000001</v>
      </c>
      <c r="L18">
        <v>8.5299999999999994</v>
      </c>
      <c r="M18">
        <v>52.622999999999998</v>
      </c>
      <c r="N18">
        <v>8.4510000000000005</v>
      </c>
      <c r="O18">
        <v>1.012</v>
      </c>
      <c r="P18">
        <v>0</v>
      </c>
      <c r="Q18">
        <v>77.123999999999995</v>
      </c>
      <c r="R18">
        <v>52.6</v>
      </c>
      <c r="S18">
        <v>29.7</v>
      </c>
    </row>
    <row r="19" spans="1:19" x14ac:dyDescent="0.3">
      <c r="A19" t="s">
        <v>403</v>
      </c>
      <c r="B19">
        <v>264.976</v>
      </c>
      <c r="C19">
        <v>72.441000000000003</v>
      </c>
      <c r="D19">
        <v>100</v>
      </c>
      <c r="E19">
        <v>0.41899999999999998</v>
      </c>
      <c r="F19">
        <v>83.007000000000005</v>
      </c>
      <c r="G19">
        <v>26.06</v>
      </c>
      <c r="H19">
        <v>141.66300000000001</v>
      </c>
      <c r="I19">
        <v>40.793999999999997</v>
      </c>
      <c r="J19">
        <v>5.8840000000000003</v>
      </c>
      <c r="K19">
        <v>230.02699999999999</v>
      </c>
      <c r="L19">
        <v>8.5259999999999998</v>
      </c>
      <c r="M19">
        <v>52.448999999999998</v>
      </c>
      <c r="N19">
        <v>8.4580000000000002</v>
      </c>
      <c r="O19">
        <v>1.002</v>
      </c>
      <c r="P19">
        <v>0</v>
      </c>
      <c r="Q19">
        <v>77.09</v>
      </c>
      <c r="R19">
        <v>52.6</v>
      </c>
      <c r="S19">
        <v>29.7</v>
      </c>
    </row>
    <row r="20" spans="1:19" x14ac:dyDescent="0.3">
      <c r="A20" t="s">
        <v>404</v>
      </c>
      <c r="B20">
        <v>264.63099999999997</v>
      </c>
      <c r="C20">
        <v>72.271000000000001</v>
      </c>
      <c r="D20">
        <v>100</v>
      </c>
      <c r="E20">
        <v>0.44</v>
      </c>
      <c r="F20">
        <v>82.171999999999997</v>
      </c>
      <c r="G20">
        <v>25.954000000000001</v>
      </c>
      <c r="H20">
        <v>141.923</v>
      </c>
      <c r="I20">
        <v>40.723999999999997</v>
      </c>
      <c r="J20">
        <v>5.8879999999999999</v>
      </c>
      <c r="K20">
        <v>230.191</v>
      </c>
      <c r="L20">
        <v>8.5289999999999999</v>
      </c>
      <c r="M20">
        <v>52.512</v>
      </c>
      <c r="N20">
        <v>8.4580000000000002</v>
      </c>
      <c r="O20">
        <v>1.0109999999999999</v>
      </c>
      <c r="P20">
        <v>0</v>
      </c>
      <c r="Q20">
        <v>77.040999999999997</v>
      </c>
      <c r="R20">
        <v>52.6</v>
      </c>
      <c r="S20">
        <v>29.7</v>
      </c>
    </row>
    <row r="21" spans="1:19" x14ac:dyDescent="0.3">
      <c r="A21" t="s">
        <v>405</v>
      </c>
      <c r="B21">
        <v>264.65100000000001</v>
      </c>
      <c r="C21">
        <v>72.369</v>
      </c>
      <c r="D21">
        <v>100</v>
      </c>
      <c r="E21">
        <v>0.42499999999999999</v>
      </c>
      <c r="F21">
        <v>82.197999999999993</v>
      </c>
      <c r="G21">
        <v>26.056000000000001</v>
      </c>
      <c r="H21">
        <v>141.88499999999999</v>
      </c>
      <c r="I21">
        <v>40.595999999999997</v>
      </c>
      <c r="J21">
        <v>5.8849999999999998</v>
      </c>
      <c r="K21">
        <v>230.01</v>
      </c>
      <c r="L21">
        <v>8.5310000000000006</v>
      </c>
      <c r="M21">
        <v>52.552</v>
      </c>
      <c r="N21">
        <v>8.4580000000000002</v>
      </c>
      <c r="O21">
        <v>0.995</v>
      </c>
      <c r="P21">
        <v>0</v>
      </c>
      <c r="Q21">
        <v>76.995000000000005</v>
      </c>
      <c r="R21">
        <v>52.7</v>
      </c>
      <c r="S21">
        <v>29.7</v>
      </c>
    </row>
    <row r="22" spans="1:19" x14ac:dyDescent="0.3">
      <c r="A22" t="s">
        <v>406</v>
      </c>
      <c r="B22">
        <v>264.67500000000001</v>
      </c>
      <c r="C22">
        <v>72.287000000000006</v>
      </c>
      <c r="D22">
        <v>100</v>
      </c>
      <c r="E22">
        <v>0.38500000000000001</v>
      </c>
      <c r="F22">
        <v>81.918999999999997</v>
      </c>
      <c r="G22">
        <v>26.212</v>
      </c>
      <c r="H22">
        <v>141.70699999999999</v>
      </c>
      <c r="I22">
        <v>40.453000000000003</v>
      </c>
      <c r="J22">
        <v>5.8879999999999999</v>
      </c>
      <c r="K22">
        <v>230.24</v>
      </c>
      <c r="L22">
        <v>8.5269999999999992</v>
      </c>
      <c r="M22">
        <v>52.570999999999998</v>
      </c>
      <c r="N22">
        <v>8.4589999999999996</v>
      </c>
      <c r="O22">
        <v>0.995</v>
      </c>
      <c r="P22">
        <v>0</v>
      </c>
      <c r="Q22">
        <v>76.956999999999994</v>
      </c>
      <c r="R22">
        <v>52.7</v>
      </c>
      <c r="S22">
        <v>29.7</v>
      </c>
    </row>
    <row r="23" spans="1:19" x14ac:dyDescent="0.3">
      <c r="A23" t="s">
        <v>407</v>
      </c>
      <c r="B23">
        <v>264.56400000000002</v>
      </c>
      <c r="C23">
        <v>72.263999999999996</v>
      </c>
      <c r="D23">
        <v>100</v>
      </c>
      <c r="E23">
        <v>0.42799999999999999</v>
      </c>
      <c r="F23">
        <v>81.603999999999999</v>
      </c>
      <c r="G23">
        <v>25.414000000000001</v>
      </c>
      <c r="H23">
        <v>141.809</v>
      </c>
      <c r="I23">
        <v>40.334000000000003</v>
      </c>
      <c r="J23">
        <v>5.8849999999999998</v>
      </c>
      <c r="K23">
        <v>230.125</v>
      </c>
      <c r="L23">
        <v>8.5310000000000006</v>
      </c>
      <c r="M23">
        <v>52.542000000000002</v>
      </c>
      <c r="N23">
        <v>8.4499999999999993</v>
      </c>
      <c r="O23">
        <v>0.999</v>
      </c>
      <c r="P23">
        <v>0</v>
      </c>
      <c r="Q23">
        <v>76.909000000000006</v>
      </c>
      <c r="R23">
        <v>52.8</v>
      </c>
      <c r="S23">
        <v>29.7</v>
      </c>
    </row>
    <row r="24" spans="1:19" x14ac:dyDescent="0.3">
      <c r="A24" t="s">
        <v>408</v>
      </c>
      <c r="B24">
        <v>264.68700000000001</v>
      </c>
      <c r="C24">
        <v>72.316999999999993</v>
      </c>
      <c r="D24">
        <v>100</v>
      </c>
      <c r="E24">
        <v>0.43099999999999999</v>
      </c>
      <c r="F24">
        <v>82.32</v>
      </c>
      <c r="G24">
        <v>24.963999999999999</v>
      </c>
      <c r="H24">
        <v>141.78899999999999</v>
      </c>
      <c r="I24">
        <v>40.436</v>
      </c>
      <c r="J24">
        <v>5.8849999999999998</v>
      </c>
      <c r="K24">
        <v>230.24</v>
      </c>
      <c r="L24">
        <v>8.5239999999999991</v>
      </c>
      <c r="M24">
        <v>52.503999999999998</v>
      </c>
      <c r="N24">
        <v>8.4570000000000007</v>
      </c>
      <c r="O24">
        <v>1</v>
      </c>
      <c r="P24">
        <v>0</v>
      </c>
      <c r="Q24">
        <v>76.873999999999995</v>
      </c>
      <c r="R24">
        <v>52.7</v>
      </c>
      <c r="S24">
        <v>29.7</v>
      </c>
    </row>
    <row r="25" spans="1:19" x14ac:dyDescent="0.3">
      <c r="A25" t="s">
        <v>409</v>
      </c>
      <c r="B25">
        <v>264.589</v>
      </c>
      <c r="C25">
        <v>72.224999999999994</v>
      </c>
      <c r="D25">
        <v>100</v>
      </c>
      <c r="E25">
        <v>0.41</v>
      </c>
      <c r="F25">
        <v>80.811999999999998</v>
      </c>
      <c r="G25">
        <v>25.117999999999999</v>
      </c>
      <c r="H25">
        <v>141.809</v>
      </c>
      <c r="I25">
        <v>40.530999999999999</v>
      </c>
      <c r="J25">
        <v>5.8860000000000001</v>
      </c>
      <c r="K25">
        <v>230.17400000000001</v>
      </c>
      <c r="L25">
        <v>8.5350000000000001</v>
      </c>
      <c r="M25">
        <v>52.593000000000004</v>
      </c>
      <c r="N25">
        <v>8.4570000000000007</v>
      </c>
      <c r="O25">
        <v>1.0009999999999999</v>
      </c>
      <c r="P25">
        <v>0</v>
      </c>
      <c r="Q25">
        <v>76.8</v>
      </c>
      <c r="R25">
        <v>52.7</v>
      </c>
      <c r="S25">
        <v>29.7</v>
      </c>
    </row>
    <row r="26" spans="1:19" x14ac:dyDescent="0.3">
      <c r="A26" t="s">
        <v>410</v>
      </c>
      <c r="B26">
        <v>264.52600000000001</v>
      </c>
      <c r="C26">
        <v>72.152000000000001</v>
      </c>
      <c r="D26">
        <v>100</v>
      </c>
      <c r="E26">
        <v>0.436</v>
      </c>
      <c r="F26">
        <v>82.373000000000005</v>
      </c>
      <c r="G26">
        <v>25.058</v>
      </c>
      <c r="H26">
        <v>141.75299999999999</v>
      </c>
      <c r="I26">
        <v>40.576000000000001</v>
      </c>
      <c r="J26">
        <v>5.883</v>
      </c>
      <c r="K26">
        <v>230.125</v>
      </c>
      <c r="L26">
        <v>8.5239999999999991</v>
      </c>
      <c r="M26">
        <v>52.622999999999998</v>
      </c>
      <c r="N26">
        <v>8.4540000000000006</v>
      </c>
      <c r="O26">
        <v>0.995</v>
      </c>
      <c r="P26">
        <v>0</v>
      </c>
      <c r="Q26">
        <v>76.772999999999996</v>
      </c>
      <c r="R26">
        <v>52.8</v>
      </c>
      <c r="S26">
        <v>29.7</v>
      </c>
    </row>
    <row r="27" spans="1:19" x14ac:dyDescent="0.3">
      <c r="A27" t="s">
        <v>411</v>
      </c>
      <c r="B27">
        <v>264.74</v>
      </c>
      <c r="C27">
        <v>72.165000000000006</v>
      </c>
      <c r="D27">
        <v>100</v>
      </c>
      <c r="E27">
        <v>0.39800000000000002</v>
      </c>
      <c r="F27">
        <v>82.501000000000005</v>
      </c>
      <c r="G27">
        <v>24.777000000000001</v>
      </c>
      <c r="H27">
        <v>141.535</v>
      </c>
      <c r="I27">
        <v>40.683</v>
      </c>
      <c r="J27">
        <v>5.8879999999999999</v>
      </c>
      <c r="K27">
        <v>230.273</v>
      </c>
      <c r="L27">
        <v>8.5359999999999996</v>
      </c>
      <c r="M27">
        <v>52.597000000000001</v>
      </c>
      <c r="N27">
        <v>8.4659999999999993</v>
      </c>
      <c r="O27">
        <v>1.004</v>
      </c>
      <c r="P27">
        <v>0</v>
      </c>
      <c r="Q27">
        <v>76.731999999999999</v>
      </c>
      <c r="R27">
        <v>52.8</v>
      </c>
      <c r="S27">
        <v>29.7</v>
      </c>
    </row>
    <row r="28" spans="1:19" x14ac:dyDescent="0.3">
      <c r="A28" t="s">
        <v>412</v>
      </c>
      <c r="B28">
        <v>264.47399999999999</v>
      </c>
      <c r="C28">
        <v>72.215000000000003</v>
      </c>
      <c r="D28">
        <v>100</v>
      </c>
      <c r="E28">
        <v>0.40600000000000003</v>
      </c>
      <c r="F28">
        <v>82.527000000000001</v>
      </c>
      <c r="G28">
        <v>24.768000000000001</v>
      </c>
      <c r="H28">
        <v>141.63499999999999</v>
      </c>
      <c r="I28">
        <v>40.723999999999997</v>
      </c>
      <c r="J28">
        <v>5.883</v>
      </c>
      <c r="K28">
        <v>230.10900000000001</v>
      </c>
      <c r="L28">
        <v>8.5229999999999997</v>
      </c>
      <c r="M28">
        <v>52.594999999999999</v>
      </c>
      <c r="N28">
        <v>8.4589999999999996</v>
      </c>
      <c r="O28">
        <v>1.0049999999999999</v>
      </c>
      <c r="P28">
        <v>0</v>
      </c>
      <c r="Q28">
        <v>76.691999999999993</v>
      </c>
      <c r="R28">
        <v>52.9</v>
      </c>
      <c r="S28">
        <v>29.7</v>
      </c>
    </row>
    <row r="29" spans="1:19" x14ac:dyDescent="0.3">
      <c r="A29" t="s">
        <v>413</v>
      </c>
      <c r="B29">
        <v>264.512</v>
      </c>
      <c r="C29">
        <v>72.159000000000006</v>
      </c>
      <c r="D29">
        <v>100</v>
      </c>
      <c r="E29">
        <v>0.42599999999999999</v>
      </c>
      <c r="F29">
        <v>82.786000000000001</v>
      </c>
      <c r="G29">
        <v>24.616</v>
      </c>
      <c r="H29">
        <v>141.4</v>
      </c>
      <c r="I29">
        <v>40.814</v>
      </c>
      <c r="J29">
        <v>5.8890000000000002</v>
      </c>
      <c r="K29">
        <v>230.322</v>
      </c>
      <c r="L29">
        <v>8.5370000000000008</v>
      </c>
      <c r="M29">
        <v>52.597000000000001</v>
      </c>
      <c r="N29">
        <v>8.4600000000000009</v>
      </c>
      <c r="O29">
        <v>1.0169999999999999</v>
      </c>
      <c r="P29">
        <v>0</v>
      </c>
      <c r="Q29">
        <v>76.643000000000001</v>
      </c>
      <c r="R29">
        <v>52.8</v>
      </c>
      <c r="S29">
        <v>29.7</v>
      </c>
    </row>
    <row r="30" spans="1:19" x14ac:dyDescent="0.3">
      <c r="A30" t="s">
        <v>414</v>
      </c>
      <c r="B30">
        <v>264.40100000000001</v>
      </c>
      <c r="C30">
        <v>72.156000000000006</v>
      </c>
      <c r="D30">
        <v>100</v>
      </c>
      <c r="E30">
        <v>0.39100000000000001</v>
      </c>
      <c r="F30">
        <v>83.384</v>
      </c>
      <c r="G30">
        <v>24.774999999999999</v>
      </c>
      <c r="H30">
        <v>141.779</v>
      </c>
      <c r="I30">
        <v>41.704999999999998</v>
      </c>
      <c r="J30">
        <v>5.8819999999999997</v>
      </c>
      <c r="K30">
        <v>230.125</v>
      </c>
      <c r="L30">
        <v>8.5190000000000001</v>
      </c>
      <c r="M30">
        <v>52.65</v>
      </c>
      <c r="N30">
        <v>8.4600000000000009</v>
      </c>
      <c r="O30">
        <v>1.01</v>
      </c>
      <c r="P30">
        <v>0</v>
      </c>
      <c r="Q30">
        <v>76.599999999999994</v>
      </c>
      <c r="R30">
        <v>52.9</v>
      </c>
      <c r="S30">
        <v>29.7</v>
      </c>
    </row>
    <row r="31" spans="1:19" x14ac:dyDescent="0.3">
      <c r="A31" t="s">
        <v>415</v>
      </c>
      <c r="B31">
        <v>264.59100000000001</v>
      </c>
      <c r="C31">
        <v>72.188000000000002</v>
      </c>
      <c r="D31">
        <v>100</v>
      </c>
      <c r="E31">
        <v>0.433</v>
      </c>
      <c r="F31">
        <v>82.274000000000001</v>
      </c>
      <c r="G31">
        <v>24.635000000000002</v>
      </c>
      <c r="H31">
        <v>141.691</v>
      </c>
      <c r="I31">
        <v>41.552999999999997</v>
      </c>
      <c r="J31">
        <v>5.8849999999999998</v>
      </c>
      <c r="K31">
        <v>230.25700000000001</v>
      </c>
      <c r="L31">
        <v>8.5329999999999995</v>
      </c>
      <c r="M31">
        <v>52.537999999999997</v>
      </c>
      <c r="N31">
        <v>8.4559999999999995</v>
      </c>
      <c r="O31">
        <v>0.99299999999999999</v>
      </c>
      <c r="P31">
        <v>0</v>
      </c>
      <c r="Q31">
        <v>76.566999999999993</v>
      </c>
      <c r="R31">
        <v>52.9</v>
      </c>
      <c r="S31">
        <v>29.7</v>
      </c>
    </row>
    <row r="32" spans="1:19" x14ac:dyDescent="0.3">
      <c r="A32" t="s">
        <v>416</v>
      </c>
      <c r="B32">
        <v>264.01299999999998</v>
      </c>
      <c r="C32">
        <v>72.149000000000001</v>
      </c>
      <c r="D32">
        <v>100</v>
      </c>
      <c r="E32">
        <v>0.40400000000000003</v>
      </c>
      <c r="F32">
        <v>82.421999999999997</v>
      </c>
      <c r="G32">
        <v>24.305</v>
      </c>
      <c r="H32">
        <v>141.518</v>
      </c>
      <c r="I32">
        <v>40.872</v>
      </c>
      <c r="J32">
        <v>5.8819999999999997</v>
      </c>
      <c r="K32">
        <v>230.07599999999999</v>
      </c>
      <c r="L32">
        <v>8.5299999999999994</v>
      </c>
      <c r="M32">
        <v>52.576999999999998</v>
      </c>
      <c r="N32">
        <v>8.4610000000000003</v>
      </c>
      <c r="O32">
        <v>1.0229999999999999</v>
      </c>
      <c r="P32">
        <v>0</v>
      </c>
      <c r="Q32">
        <v>76.510999999999996</v>
      </c>
      <c r="R32">
        <v>52.9</v>
      </c>
      <c r="S32">
        <v>29.7</v>
      </c>
    </row>
    <row r="33" spans="1:19" x14ac:dyDescent="0.3">
      <c r="A33" t="s">
        <v>417</v>
      </c>
      <c r="B33">
        <v>264.05500000000001</v>
      </c>
      <c r="C33">
        <v>72.159000000000006</v>
      </c>
      <c r="D33">
        <v>100</v>
      </c>
      <c r="E33">
        <v>0.40699999999999997</v>
      </c>
      <c r="F33">
        <v>81.114000000000004</v>
      </c>
      <c r="G33">
        <v>23.731999999999999</v>
      </c>
      <c r="H33">
        <v>141.429</v>
      </c>
      <c r="I33">
        <v>41.356000000000002</v>
      </c>
      <c r="J33">
        <v>5.8890000000000002</v>
      </c>
      <c r="K33">
        <v>230.20699999999999</v>
      </c>
      <c r="L33">
        <v>8.5329999999999995</v>
      </c>
      <c r="M33">
        <v>52.570999999999998</v>
      </c>
      <c r="N33">
        <v>8.4610000000000003</v>
      </c>
      <c r="O33">
        <v>0.99299999999999999</v>
      </c>
      <c r="P33">
        <v>0</v>
      </c>
      <c r="Q33">
        <v>76.450999999999993</v>
      </c>
      <c r="R33">
        <v>52.9</v>
      </c>
      <c r="S33">
        <v>29.7</v>
      </c>
    </row>
    <row r="34" spans="1:19" x14ac:dyDescent="0.3">
      <c r="A34" t="s">
        <v>418</v>
      </c>
      <c r="B34">
        <v>263.99099999999999</v>
      </c>
      <c r="C34">
        <v>72.149000000000001</v>
      </c>
      <c r="D34">
        <v>100</v>
      </c>
      <c r="E34">
        <v>0.43099999999999999</v>
      </c>
      <c r="F34">
        <v>81.823999999999998</v>
      </c>
      <c r="G34">
        <v>23.885000000000002</v>
      </c>
      <c r="H34">
        <v>141.21299999999999</v>
      </c>
      <c r="I34">
        <v>40.843000000000004</v>
      </c>
      <c r="J34">
        <v>5.8869999999999996</v>
      </c>
      <c r="K34">
        <v>230.22399999999999</v>
      </c>
      <c r="L34">
        <v>8.5229999999999997</v>
      </c>
      <c r="M34">
        <v>52.636000000000003</v>
      </c>
      <c r="N34">
        <v>8.4649999999999999</v>
      </c>
      <c r="O34">
        <v>1.004</v>
      </c>
      <c r="P34">
        <v>0</v>
      </c>
      <c r="Q34">
        <v>76.399000000000001</v>
      </c>
      <c r="R34">
        <v>53</v>
      </c>
      <c r="S34">
        <v>29.7</v>
      </c>
    </row>
    <row r="35" spans="1:19" ht="15" thickBot="1" x14ac:dyDescent="0.35">
      <c r="A35" t="s">
        <v>419</v>
      </c>
      <c r="B35">
        <v>264.471</v>
      </c>
      <c r="C35">
        <v>72.230999999999995</v>
      </c>
      <c r="D35">
        <v>100</v>
      </c>
      <c r="E35">
        <v>0.39100000000000001</v>
      </c>
      <c r="F35">
        <v>82.034000000000006</v>
      </c>
      <c r="G35">
        <v>23.704000000000001</v>
      </c>
      <c r="H35">
        <v>141.44499999999999</v>
      </c>
      <c r="I35">
        <v>40.695</v>
      </c>
      <c r="J35">
        <v>5.8879999999999999</v>
      </c>
      <c r="K35">
        <v>230.28899999999999</v>
      </c>
      <c r="L35">
        <v>8.5350000000000001</v>
      </c>
      <c r="M35">
        <v>52.631</v>
      </c>
      <c r="N35">
        <v>8.4550000000000001</v>
      </c>
      <c r="O35">
        <v>1.006</v>
      </c>
      <c r="P35">
        <v>0</v>
      </c>
      <c r="Q35">
        <v>76.343000000000004</v>
      </c>
      <c r="R35">
        <v>53</v>
      </c>
      <c r="S35">
        <v>29.7</v>
      </c>
    </row>
    <row r="36" spans="1:19" ht="15" thickBot="1" x14ac:dyDescent="0.35">
      <c r="A36" t="s">
        <v>30</v>
      </c>
      <c r="B36" s="1">
        <f>AVERAGE(B6:B35)</f>
        <v>264.99549999999999</v>
      </c>
      <c r="C36" s="1">
        <f>AVERAGE(C6:C35)</f>
        <v>72.317833333333326</v>
      </c>
      <c r="D36" s="1">
        <f t="shared" ref="D36:S36" si="0">AVERAGE(D6:D35)</f>
        <v>100</v>
      </c>
      <c r="E36" s="10">
        <f t="shared" si="0"/>
        <v>0.42116666666666658</v>
      </c>
      <c r="F36" s="1">
        <f t="shared" si="0"/>
        <v>82.24430000000001</v>
      </c>
      <c r="G36" s="1">
        <f t="shared" si="0"/>
        <v>25.982333333333326</v>
      </c>
      <c r="H36" s="10">
        <f t="shared" si="0"/>
        <v>141.77536666666666</v>
      </c>
      <c r="I36" s="1">
        <f t="shared" si="0"/>
        <v>40.728300000000004</v>
      </c>
      <c r="J36" s="8">
        <f t="shared" si="0"/>
        <v>5.8864000000000027</v>
      </c>
      <c r="K36" s="1">
        <f t="shared" si="0"/>
        <v>230.17169999999999</v>
      </c>
      <c r="L36" s="1">
        <f t="shared" si="0"/>
        <v>8.5301666666666645</v>
      </c>
      <c r="M36" s="1">
        <f t="shared" si="0"/>
        <v>52.574300000000015</v>
      </c>
      <c r="N36" s="1">
        <f t="shared" si="0"/>
        <v>8.4574333333333342</v>
      </c>
      <c r="O36" s="1">
        <f t="shared" si="0"/>
        <v>1.0034666666666667</v>
      </c>
      <c r="P36" s="1">
        <f t="shared" si="0"/>
        <v>0</v>
      </c>
      <c r="Q36" s="1">
        <f t="shared" si="0"/>
        <v>77.011033333333316</v>
      </c>
      <c r="R36" s="1">
        <f t="shared" si="0"/>
        <v>52.650000000000013</v>
      </c>
      <c r="S36" s="1">
        <f t="shared" si="0"/>
        <v>29.700000000000014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F036-4FF1-4F61-B6BA-B66EBFFD3D6E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0.60849537037037038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2.6835252182732874</v>
      </c>
      <c r="M2" s="8">
        <f>100*(R36/(R36+Q36))</f>
        <v>40.798904585200404</v>
      </c>
      <c r="O2" s="9">
        <f>100*((E36*C2)/((E36*C2)+(K2*E2)))</f>
        <v>13.180469683156023</v>
      </c>
      <c r="Q2" s="10">
        <f>100*J36*(1/(((C2/3.6)*E36)+((E2/3.6)*K2)))</f>
        <v>18.393405539840092</v>
      </c>
      <c r="S2" s="6">
        <v>3.54</v>
      </c>
      <c r="U2" s="10">
        <f>100*((((G36*0.001*60)*(C36-D36)*(S2/3.6)))/(((C2/3.6)*E36)+((E2/3.6)*K2)))</f>
        <v>-161.34163207733565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360</v>
      </c>
      <c r="B6">
        <v>312.36599999999999</v>
      </c>
      <c r="C6">
        <v>75.591999999999999</v>
      </c>
      <c r="D6">
        <v>100</v>
      </c>
      <c r="E6">
        <v>0.47</v>
      </c>
      <c r="F6">
        <v>85.132000000000005</v>
      </c>
      <c r="G6">
        <v>48.3</v>
      </c>
      <c r="H6">
        <v>154.13399999999999</v>
      </c>
      <c r="I6">
        <v>42.835000000000001</v>
      </c>
      <c r="J6">
        <v>7.8949999999999996</v>
      </c>
      <c r="K6">
        <v>230.191</v>
      </c>
      <c r="L6">
        <v>11.590999999999999</v>
      </c>
      <c r="M6">
        <v>52.42</v>
      </c>
      <c r="N6">
        <v>11.363</v>
      </c>
      <c r="O6">
        <v>1.0349999999999999</v>
      </c>
      <c r="P6">
        <v>0</v>
      </c>
      <c r="Q6">
        <v>83.155000000000001</v>
      </c>
      <c r="R6">
        <v>57</v>
      </c>
      <c r="S6">
        <v>34.799999999999997</v>
      </c>
    </row>
    <row r="7" spans="1:21" x14ac:dyDescent="0.3">
      <c r="A7" t="s">
        <v>361</v>
      </c>
      <c r="B7">
        <v>312.54399999999998</v>
      </c>
      <c r="C7">
        <v>75.561999999999998</v>
      </c>
      <c r="D7">
        <v>100</v>
      </c>
      <c r="E7">
        <v>0.44500000000000001</v>
      </c>
      <c r="F7">
        <v>85.037000000000006</v>
      </c>
      <c r="G7">
        <v>48.383000000000003</v>
      </c>
      <c r="H7">
        <v>154.08799999999999</v>
      </c>
      <c r="I7">
        <v>42.715000000000003</v>
      </c>
      <c r="J7">
        <v>7.9039999999999999</v>
      </c>
      <c r="K7">
        <v>230.43700000000001</v>
      </c>
      <c r="L7">
        <v>11.377000000000001</v>
      </c>
      <c r="M7">
        <v>52.545999999999999</v>
      </c>
      <c r="N7">
        <v>11.366</v>
      </c>
      <c r="O7">
        <v>1.034</v>
      </c>
      <c r="P7">
        <v>0</v>
      </c>
      <c r="Q7">
        <v>83.075000000000003</v>
      </c>
      <c r="R7">
        <v>57</v>
      </c>
      <c r="S7">
        <v>34.799999999999997</v>
      </c>
    </row>
    <row r="8" spans="1:21" x14ac:dyDescent="0.3">
      <c r="A8" t="s">
        <v>362</v>
      </c>
      <c r="B8">
        <v>312.27100000000002</v>
      </c>
      <c r="C8">
        <v>75.584999999999994</v>
      </c>
      <c r="D8">
        <v>100</v>
      </c>
      <c r="E8">
        <v>0.47599999999999998</v>
      </c>
      <c r="F8">
        <v>84.876000000000005</v>
      </c>
      <c r="G8">
        <v>48.607999999999997</v>
      </c>
      <c r="H8">
        <v>153.983</v>
      </c>
      <c r="I8">
        <v>42.744</v>
      </c>
      <c r="J8">
        <v>7.8979999999999997</v>
      </c>
      <c r="K8">
        <v>230.25700000000001</v>
      </c>
      <c r="L8">
        <v>11.435</v>
      </c>
      <c r="M8">
        <v>52.536000000000001</v>
      </c>
      <c r="N8">
        <v>11.364000000000001</v>
      </c>
      <c r="O8">
        <v>1.026</v>
      </c>
      <c r="P8">
        <v>0</v>
      </c>
      <c r="Q8">
        <v>83.058999999999997</v>
      </c>
      <c r="R8">
        <v>57</v>
      </c>
      <c r="S8">
        <v>34.799999999999997</v>
      </c>
    </row>
    <row r="9" spans="1:21" x14ac:dyDescent="0.3">
      <c r="A9" t="s">
        <v>363</v>
      </c>
      <c r="B9">
        <v>312.56599999999997</v>
      </c>
      <c r="C9">
        <v>75.561999999999998</v>
      </c>
      <c r="D9">
        <v>100</v>
      </c>
      <c r="E9">
        <v>0.48799999999999999</v>
      </c>
      <c r="F9">
        <v>84.629000000000005</v>
      </c>
      <c r="G9">
        <v>48.167000000000002</v>
      </c>
      <c r="H9">
        <v>154.006</v>
      </c>
      <c r="I9">
        <v>42.514000000000003</v>
      </c>
      <c r="J9">
        <v>7.9059999999999997</v>
      </c>
      <c r="K9">
        <v>230.38800000000001</v>
      </c>
      <c r="L9">
        <v>11.451000000000001</v>
      </c>
      <c r="M9">
        <v>52.491</v>
      </c>
      <c r="N9">
        <v>11.363</v>
      </c>
      <c r="O9">
        <v>1.0229999999999999</v>
      </c>
      <c r="P9">
        <v>0</v>
      </c>
      <c r="Q9">
        <v>83.016999999999996</v>
      </c>
      <c r="R9">
        <v>57</v>
      </c>
      <c r="S9">
        <v>34.799999999999997</v>
      </c>
    </row>
    <row r="10" spans="1:21" x14ac:dyDescent="0.3">
      <c r="A10" t="s">
        <v>364</v>
      </c>
      <c r="B10">
        <v>311.57799999999997</v>
      </c>
      <c r="C10">
        <v>75.539000000000001</v>
      </c>
      <c r="D10">
        <v>100</v>
      </c>
      <c r="E10">
        <v>0.502</v>
      </c>
      <c r="F10">
        <v>84.566999999999993</v>
      </c>
      <c r="G10">
        <v>47.78</v>
      </c>
      <c r="H10">
        <v>153.709</v>
      </c>
      <c r="I10">
        <v>42.88</v>
      </c>
      <c r="J10">
        <v>7.8979999999999997</v>
      </c>
      <c r="K10">
        <v>230.17400000000001</v>
      </c>
      <c r="L10">
        <v>11.430999999999999</v>
      </c>
      <c r="M10">
        <v>52.573</v>
      </c>
      <c r="N10">
        <v>11.368</v>
      </c>
      <c r="O10">
        <v>1.036</v>
      </c>
      <c r="P10">
        <v>0</v>
      </c>
      <c r="Q10">
        <v>83.022999999999996</v>
      </c>
      <c r="R10">
        <v>57</v>
      </c>
      <c r="S10">
        <v>34.799999999999997</v>
      </c>
    </row>
    <row r="11" spans="1:21" x14ac:dyDescent="0.3">
      <c r="A11" t="s">
        <v>365</v>
      </c>
      <c r="B11">
        <v>312.08600000000001</v>
      </c>
      <c r="C11">
        <v>75.588999999999999</v>
      </c>
      <c r="D11">
        <v>100</v>
      </c>
      <c r="E11">
        <v>0.495</v>
      </c>
      <c r="F11">
        <v>85.733000000000004</v>
      </c>
      <c r="G11">
        <v>48.042999999999999</v>
      </c>
      <c r="H11">
        <v>153.83099999999999</v>
      </c>
      <c r="I11">
        <v>42.859000000000002</v>
      </c>
      <c r="J11">
        <v>7.9080000000000004</v>
      </c>
      <c r="K11">
        <v>230.47</v>
      </c>
      <c r="L11">
        <v>11.443</v>
      </c>
      <c r="M11">
        <v>52.497</v>
      </c>
      <c r="N11">
        <v>11.369</v>
      </c>
      <c r="O11">
        <v>1.0289999999999999</v>
      </c>
      <c r="P11">
        <v>0</v>
      </c>
      <c r="Q11">
        <v>82.991</v>
      </c>
      <c r="R11">
        <v>57</v>
      </c>
      <c r="S11">
        <v>34.799999999999997</v>
      </c>
    </row>
    <row r="12" spans="1:21" x14ac:dyDescent="0.3">
      <c r="A12" t="s">
        <v>366</v>
      </c>
      <c r="B12">
        <v>311.26100000000002</v>
      </c>
      <c r="C12">
        <v>75.555999999999997</v>
      </c>
      <c r="D12">
        <v>100</v>
      </c>
      <c r="E12">
        <v>0.499</v>
      </c>
      <c r="F12">
        <v>84.950999999999993</v>
      </c>
      <c r="G12">
        <v>48.302</v>
      </c>
      <c r="H12">
        <v>153.87200000000001</v>
      </c>
      <c r="I12">
        <v>42.436</v>
      </c>
      <c r="J12">
        <v>7.8979999999999997</v>
      </c>
      <c r="K12">
        <v>230.10900000000001</v>
      </c>
      <c r="L12">
        <v>11.439</v>
      </c>
      <c r="M12">
        <v>52.514000000000003</v>
      </c>
      <c r="N12">
        <v>11.364000000000001</v>
      </c>
      <c r="O12">
        <v>1.038</v>
      </c>
      <c r="P12">
        <v>0</v>
      </c>
      <c r="Q12">
        <v>82.932000000000002</v>
      </c>
      <c r="R12">
        <v>57.1</v>
      </c>
      <c r="S12">
        <v>34.799999999999997</v>
      </c>
    </row>
    <row r="13" spans="1:21" x14ac:dyDescent="0.3">
      <c r="A13" t="s">
        <v>367</v>
      </c>
      <c r="B13">
        <v>311.36399999999998</v>
      </c>
      <c r="C13">
        <v>75.477000000000004</v>
      </c>
      <c r="D13">
        <v>100</v>
      </c>
      <c r="E13">
        <v>0.47</v>
      </c>
      <c r="F13">
        <v>85.05</v>
      </c>
      <c r="G13">
        <v>48.064</v>
      </c>
      <c r="H13">
        <v>153.846</v>
      </c>
      <c r="I13">
        <v>42.817999999999998</v>
      </c>
      <c r="J13">
        <v>7.9059999999999997</v>
      </c>
      <c r="K13">
        <v>230.48599999999999</v>
      </c>
      <c r="L13">
        <v>11.458</v>
      </c>
      <c r="M13">
        <v>52.398000000000003</v>
      </c>
      <c r="N13">
        <v>11.365</v>
      </c>
      <c r="O13">
        <v>1.03</v>
      </c>
      <c r="P13">
        <v>0</v>
      </c>
      <c r="Q13">
        <v>82.924000000000007</v>
      </c>
      <c r="R13">
        <v>57</v>
      </c>
      <c r="S13">
        <v>34.799999999999997</v>
      </c>
    </row>
    <row r="14" spans="1:21" x14ac:dyDescent="0.3">
      <c r="A14" t="s">
        <v>368</v>
      </c>
      <c r="B14">
        <v>311.87099999999998</v>
      </c>
      <c r="C14">
        <v>75.549000000000007</v>
      </c>
      <c r="D14">
        <v>100</v>
      </c>
      <c r="E14">
        <v>0.49399999999999999</v>
      </c>
      <c r="F14">
        <v>85.697000000000003</v>
      </c>
      <c r="G14">
        <v>48.212000000000003</v>
      </c>
      <c r="H14">
        <v>153.61799999999999</v>
      </c>
      <c r="I14">
        <v>42.457000000000001</v>
      </c>
      <c r="J14">
        <v>7.8949999999999996</v>
      </c>
      <c r="K14">
        <v>230.10900000000001</v>
      </c>
      <c r="L14">
        <v>11.435</v>
      </c>
      <c r="M14">
        <v>52.4</v>
      </c>
      <c r="N14">
        <v>11.36</v>
      </c>
      <c r="O14">
        <v>1.0369999999999999</v>
      </c>
      <c r="P14">
        <v>0</v>
      </c>
      <c r="Q14">
        <v>82.884</v>
      </c>
      <c r="R14">
        <v>57</v>
      </c>
      <c r="S14">
        <v>34.799999999999997</v>
      </c>
    </row>
    <row r="15" spans="1:21" x14ac:dyDescent="0.3">
      <c r="A15" t="s">
        <v>369</v>
      </c>
      <c r="B15">
        <v>311.47000000000003</v>
      </c>
      <c r="C15">
        <v>75.466999999999999</v>
      </c>
      <c r="D15">
        <v>100</v>
      </c>
      <c r="E15">
        <v>0.502</v>
      </c>
      <c r="F15">
        <v>84.504999999999995</v>
      </c>
      <c r="G15">
        <v>47.822000000000003</v>
      </c>
      <c r="H15">
        <v>153.755</v>
      </c>
      <c r="I15">
        <v>42.6</v>
      </c>
      <c r="J15">
        <v>7.9039999999999999</v>
      </c>
      <c r="K15">
        <v>230.45400000000001</v>
      </c>
      <c r="L15">
        <v>11.454000000000001</v>
      </c>
      <c r="M15">
        <v>52.476999999999997</v>
      </c>
      <c r="N15">
        <v>11.362</v>
      </c>
      <c r="O15">
        <v>1.022</v>
      </c>
      <c r="P15">
        <v>0</v>
      </c>
      <c r="Q15">
        <v>82.861999999999995</v>
      </c>
      <c r="R15">
        <v>57</v>
      </c>
      <c r="S15">
        <v>34.799999999999997</v>
      </c>
    </row>
    <row r="16" spans="1:21" x14ac:dyDescent="0.3">
      <c r="A16" t="s">
        <v>370</v>
      </c>
      <c r="B16">
        <v>311.89100000000002</v>
      </c>
      <c r="C16">
        <v>75.48</v>
      </c>
      <c r="D16">
        <v>100</v>
      </c>
      <c r="E16">
        <v>0.47199999999999998</v>
      </c>
      <c r="F16">
        <v>85.653999999999996</v>
      </c>
      <c r="G16">
        <v>48.475999999999999</v>
      </c>
      <c r="H16">
        <v>153.73599999999999</v>
      </c>
      <c r="I16">
        <v>42.527000000000001</v>
      </c>
      <c r="J16">
        <v>7.8959999999999999</v>
      </c>
      <c r="K16">
        <v>230.09200000000001</v>
      </c>
      <c r="L16">
        <v>11.428000000000001</v>
      </c>
      <c r="M16">
        <v>52.537999999999997</v>
      </c>
      <c r="N16">
        <v>11.381</v>
      </c>
      <c r="O16">
        <v>1.0289999999999999</v>
      </c>
      <c r="P16">
        <v>0</v>
      </c>
      <c r="Q16">
        <v>82.846999999999994</v>
      </c>
      <c r="R16">
        <v>57</v>
      </c>
      <c r="S16">
        <v>34.799999999999997</v>
      </c>
    </row>
    <row r="17" spans="1:19" x14ac:dyDescent="0.3">
      <c r="A17" t="s">
        <v>371</v>
      </c>
      <c r="B17">
        <v>311.45999999999998</v>
      </c>
      <c r="C17">
        <v>75.400999999999996</v>
      </c>
      <c r="D17">
        <v>100</v>
      </c>
      <c r="E17">
        <v>0.46300000000000002</v>
      </c>
      <c r="F17">
        <v>85.332999999999998</v>
      </c>
      <c r="G17">
        <v>48.215000000000003</v>
      </c>
      <c r="H17">
        <v>153.54499999999999</v>
      </c>
      <c r="I17">
        <v>42.884</v>
      </c>
      <c r="J17">
        <v>7.9039999999999999</v>
      </c>
      <c r="K17">
        <v>230.50299999999999</v>
      </c>
      <c r="L17">
        <v>11.452</v>
      </c>
      <c r="M17">
        <v>52.417999999999999</v>
      </c>
      <c r="N17">
        <v>11.362</v>
      </c>
      <c r="O17">
        <v>1.018</v>
      </c>
      <c r="P17">
        <v>0</v>
      </c>
      <c r="Q17">
        <v>82.808999999999997</v>
      </c>
      <c r="R17">
        <v>57</v>
      </c>
      <c r="S17">
        <v>34.799999999999997</v>
      </c>
    </row>
    <row r="18" spans="1:19" x14ac:dyDescent="0.3">
      <c r="A18" t="s">
        <v>372</v>
      </c>
      <c r="B18">
        <v>311.077</v>
      </c>
      <c r="C18">
        <v>75.444000000000003</v>
      </c>
      <c r="D18">
        <v>100</v>
      </c>
      <c r="E18">
        <v>0.46100000000000002</v>
      </c>
      <c r="F18">
        <v>84.950999999999993</v>
      </c>
      <c r="G18">
        <v>47.762</v>
      </c>
      <c r="H18">
        <v>153.38800000000001</v>
      </c>
      <c r="I18">
        <v>42.677999999999997</v>
      </c>
      <c r="J18">
        <v>7.8940000000000001</v>
      </c>
      <c r="K18">
        <v>230.142</v>
      </c>
      <c r="L18">
        <v>11.436</v>
      </c>
      <c r="M18">
        <v>52.427999999999997</v>
      </c>
      <c r="N18">
        <v>11.359</v>
      </c>
      <c r="O18">
        <v>1.0229999999999999</v>
      </c>
      <c r="P18">
        <v>0</v>
      </c>
      <c r="Q18">
        <v>82.774000000000001</v>
      </c>
      <c r="R18">
        <v>57</v>
      </c>
      <c r="S18">
        <v>34.799999999999997</v>
      </c>
    </row>
    <row r="19" spans="1:19" x14ac:dyDescent="0.3">
      <c r="A19" t="s">
        <v>373</v>
      </c>
      <c r="B19">
        <v>311.55399999999997</v>
      </c>
      <c r="C19">
        <v>75.456999999999994</v>
      </c>
      <c r="D19">
        <v>100</v>
      </c>
      <c r="E19">
        <v>0.45800000000000002</v>
      </c>
      <c r="F19">
        <v>85.650999999999996</v>
      </c>
      <c r="G19">
        <v>47.939</v>
      </c>
      <c r="H19">
        <v>153.33699999999999</v>
      </c>
      <c r="I19">
        <v>42.436</v>
      </c>
      <c r="J19">
        <v>7.9050000000000002</v>
      </c>
      <c r="K19">
        <v>230.45400000000001</v>
      </c>
      <c r="L19">
        <v>11.446</v>
      </c>
      <c r="M19">
        <v>52.439</v>
      </c>
      <c r="N19">
        <v>11.364000000000001</v>
      </c>
      <c r="O19">
        <v>1.0269999999999999</v>
      </c>
      <c r="P19">
        <v>0</v>
      </c>
      <c r="Q19">
        <v>82.736999999999995</v>
      </c>
      <c r="R19">
        <v>57</v>
      </c>
      <c r="S19">
        <v>34.799999999999997</v>
      </c>
    </row>
    <row r="20" spans="1:19" x14ac:dyDescent="0.3">
      <c r="A20" t="s">
        <v>374</v>
      </c>
      <c r="B20">
        <v>311.43900000000002</v>
      </c>
      <c r="C20">
        <v>75.367999999999995</v>
      </c>
      <c r="D20">
        <v>100</v>
      </c>
      <c r="E20">
        <v>0.44900000000000001</v>
      </c>
      <c r="F20">
        <v>83.283000000000001</v>
      </c>
      <c r="G20">
        <v>47.527999999999999</v>
      </c>
      <c r="H20">
        <v>153.6</v>
      </c>
      <c r="I20">
        <v>43.031999999999996</v>
      </c>
      <c r="J20">
        <v>7.891</v>
      </c>
      <c r="K20">
        <v>230.17400000000001</v>
      </c>
      <c r="L20">
        <v>11.432</v>
      </c>
      <c r="M20">
        <v>52.457000000000001</v>
      </c>
      <c r="N20">
        <v>11.359</v>
      </c>
      <c r="O20">
        <v>1.036</v>
      </c>
      <c r="P20">
        <v>0</v>
      </c>
      <c r="Q20">
        <v>82.724999999999994</v>
      </c>
      <c r="R20">
        <v>57</v>
      </c>
      <c r="S20">
        <v>34.799999999999997</v>
      </c>
    </row>
    <row r="21" spans="1:19" x14ac:dyDescent="0.3">
      <c r="A21" t="s">
        <v>375</v>
      </c>
      <c r="B21">
        <v>311.22699999999998</v>
      </c>
      <c r="C21">
        <v>75.566000000000003</v>
      </c>
      <c r="D21">
        <v>100</v>
      </c>
      <c r="E21">
        <v>0.432</v>
      </c>
      <c r="F21">
        <v>85.162000000000006</v>
      </c>
      <c r="G21">
        <v>47.588999999999999</v>
      </c>
      <c r="H21">
        <v>153.32599999999999</v>
      </c>
      <c r="I21">
        <v>42.567999999999998</v>
      </c>
      <c r="J21">
        <v>7.907</v>
      </c>
      <c r="K21">
        <v>230.45400000000001</v>
      </c>
      <c r="L21">
        <v>11.441000000000001</v>
      </c>
      <c r="M21">
        <v>52.488999999999997</v>
      </c>
      <c r="N21">
        <v>11.364000000000001</v>
      </c>
      <c r="O21">
        <v>1.026</v>
      </c>
      <c r="P21">
        <v>0</v>
      </c>
      <c r="Q21">
        <v>82.686999999999998</v>
      </c>
      <c r="R21">
        <v>57</v>
      </c>
      <c r="S21">
        <v>34.799999999999997</v>
      </c>
    </row>
    <row r="22" spans="1:19" x14ac:dyDescent="0.3">
      <c r="A22" t="s">
        <v>376</v>
      </c>
      <c r="B22">
        <v>310.70600000000002</v>
      </c>
      <c r="C22">
        <v>75.263000000000005</v>
      </c>
      <c r="D22">
        <v>100</v>
      </c>
      <c r="E22">
        <v>0.43099999999999999</v>
      </c>
      <c r="F22">
        <v>84.674999999999997</v>
      </c>
      <c r="G22">
        <v>47.274999999999999</v>
      </c>
      <c r="H22">
        <v>153.37299999999999</v>
      </c>
      <c r="I22">
        <v>42.707000000000001</v>
      </c>
      <c r="J22">
        <v>7.8949999999999996</v>
      </c>
      <c r="K22">
        <v>230.17400000000001</v>
      </c>
      <c r="L22">
        <v>11.438000000000001</v>
      </c>
      <c r="M22">
        <v>52.536000000000001</v>
      </c>
      <c r="N22">
        <v>11.364000000000001</v>
      </c>
      <c r="O22">
        <v>1.0369999999999999</v>
      </c>
      <c r="P22">
        <v>0</v>
      </c>
      <c r="Q22">
        <v>82.680999999999997</v>
      </c>
      <c r="R22">
        <v>57</v>
      </c>
      <c r="S22">
        <v>34.799999999999997</v>
      </c>
    </row>
    <row r="23" spans="1:19" x14ac:dyDescent="0.3">
      <c r="A23" t="s">
        <v>377</v>
      </c>
      <c r="B23">
        <v>310.76799999999997</v>
      </c>
      <c r="C23">
        <v>75.260000000000005</v>
      </c>
      <c r="D23">
        <v>100</v>
      </c>
      <c r="E23">
        <v>0.439</v>
      </c>
      <c r="F23">
        <v>84.826999999999998</v>
      </c>
      <c r="G23">
        <v>47.77</v>
      </c>
      <c r="H23">
        <v>153.511</v>
      </c>
      <c r="I23">
        <v>42.863</v>
      </c>
      <c r="J23">
        <v>7.9050000000000002</v>
      </c>
      <c r="K23">
        <v>230.47</v>
      </c>
      <c r="L23">
        <v>11.523</v>
      </c>
      <c r="M23">
        <v>52.5</v>
      </c>
      <c r="N23">
        <v>11.319000000000001</v>
      </c>
      <c r="O23">
        <v>1.03</v>
      </c>
      <c r="P23">
        <v>0</v>
      </c>
      <c r="Q23">
        <v>82.647999999999996</v>
      </c>
      <c r="R23">
        <v>57</v>
      </c>
      <c r="S23">
        <v>34.799999999999997</v>
      </c>
    </row>
    <row r="24" spans="1:19" x14ac:dyDescent="0.3">
      <c r="A24" t="s">
        <v>378</v>
      </c>
      <c r="B24">
        <v>310.58800000000002</v>
      </c>
      <c r="C24">
        <v>75.200999999999993</v>
      </c>
      <c r="D24">
        <v>100</v>
      </c>
      <c r="E24">
        <v>0.44700000000000001</v>
      </c>
      <c r="F24">
        <v>85.210999999999999</v>
      </c>
      <c r="G24">
        <v>47.625</v>
      </c>
      <c r="H24">
        <v>153.20500000000001</v>
      </c>
      <c r="I24">
        <v>40.999000000000002</v>
      </c>
      <c r="J24">
        <v>7.899</v>
      </c>
      <c r="K24">
        <v>230.273</v>
      </c>
      <c r="L24">
        <v>11.458</v>
      </c>
      <c r="M24">
        <v>52.741</v>
      </c>
      <c r="N24">
        <v>11.363</v>
      </c>
      <c r="O24">
        <v>1.0269999999999999</v>
      </c>
      <c r="P24">
        <v>0</v>
      </c>
      <c r="Q24">
        <v>82.617000000000004</v>
      </c>
      <c r="R24">
        <v>57</v>
      </c>
      <c r="S24">
        <v>34.799999999999997</v>
      </c>
    </row>
    <row r="25" spans="1:19" x14ac:dyDescent="0.3">
      <c r="A25" t="s">
        <v>379</v>
      </c>
      <c r="B25">
        <v>310.41199999999998</v>
      </c>
      <c r="C25">
        <v>75.239999999999995</v>
      </c>
      <c r="D25">
        <v>100</v>
      </c>
      <c r="E25">
        <v>0.50600000000000001</v>
      </c>
      <c r="F25">
        <v>84.290999999999997</v>
      </c>
      <c r="G25">
        <v>47.438000000000002</v>
      </c>
      <c r="H25">
        <v>153.34800000000001</v>
      </c>
      <c r="I25">
        <v>42.698999999999998</v>
      </c>
      <c r="J25">
        <v>7.9059999999999997</v>
      </c>
      <c r="K25">
        <v>230.50299999999999</v>
      </c>
      <c r="L25">
        <v>11.45</v>
      </c>
      <c r="M25">
        <v>52.527999999999999</v>
      </c>
      <c r="N25">
        <v>11.367000000000001</v>
      </c>
      <c r="O25">
        <v>1.026</v>
      </c>
      <c r="P25">
        <v>0</v>
      </c>
      <c r="Q25">
        <v>82.590999999999994</v>
      </c>
      <c r="R25">
        <v>57</v>
      </c>
      <c r="S25">
        <v>34.799999999999997</v>
      </c>
    </row>
    <row r="26" spans="1:19" x14ac:dyDescent="0.3">
      <c r="A26" t="s">
        <v>380</v>
      </c>
      <c r="B26">
        <v>310.40199999999999</v>
      </c>
      <c r="C26">
        <v>75.236999999999995</v>
      </c>
      <c r="D26">
        <v>100</v>
      </c>
      <c r="E26">
        <v>0.504</v>
      </c>
      <c r="F26">
        <v>84.793999999999997</v>
      </c>
      <c r="G26">
        <v>47.637</v>
      </c>
      <c r="H26">
        <v>153.41</v>
      </c>
      <c r="I26">
        <v>42.798000000000002</v>
      </c>
      <c r="J26">
        <v>7.899</v>
      </c>
      <c r="K26">
        <v>230.38800000000001</v>
      </c>
      <c r="L26">
        <v>11.448</v>
      </c>
      <c r="M26">
        <v>52.470999999999997</v>
      </c>
      <c r="N26">
        <v>11.365</v>
      </c>
      <c r="O26">
        <v>1.0289999999999999</v>
      </c>
      <c r="P26">
        <v>0</v>
      </c>
      <c r="Q26">
        <v>82.549000000000007</v>
      </c>
      <c r="R26">
        <v>57</v>
      </c>
      <c r="S26">
        <v>34.799999999999997</v>
      </c>
    </row>
    <row r="27" spans="1:19" x14ac:dyDescent="0.3">
      <c r="A27" t="s">
        <v>381</v>
      </c>
      <c r="B27">
        <v>310.57900000000001</v>
      </c>
      <c r="C27">
        <v>75.239999999999995</v>
      </c>
      <c r="D27">
        <v>100</v>
      </c>
      <c r="E27">
        <v>0.495</v>
      </c>
      <c r="F27">
        <v>85.346000000000004</v>
      </c>
      <c r="G27">
        <v>47.859000000000002</v>
      </c>
      <c r="H27">
        <v>153.18</v>
      </c>
      <c r="I27">
        <v>42.402999999999999</v>
      </c>
      <c r="J27">
        <v>7.9050000000000002</v>
      </c>
      <c r="K27">
        <v>230.47</v>
      </c>
      <c r="L27">
        <v>11.457000000000001</v>
      </c>
      <c r="M27">
        <v>52.414000000000001</v>
      </c>
      <c r="N27">
        <v>11.37</v>
      </c>
      <c r="O27">
        <v>1.0109999999999999</v>
      </c>
      <c r="P27">
        <v>0</v>
      </c>
      <c r="Q27">
        <v>82.516999999999996</v>
      </c>
      <c r="R27">
        <v>57</v>
      </c>
      <c r="S27">
        <v>34.799999999999997</v>
      </c>
    </row>
    <row r="28" spans="1:19" x14ac:dyDescent="0.3">
      <c r="A28" t="s">
        <v>382</v>
      </c>
      <c r="B28">
        <v>310.20400000000001</v>
      </c>
      <c r="C28">
        <v>75.203999999999994</v>
      </c>
      <c r="D28">
        <v>100</v>
      </c>
      <c r="E28">
        <v>0.47399999999999998</v>
      </c>
      <c r="F28">
        <v>84.587000000000003</v>
      </c>
      <c r="G28">
        <v>46.86</v>
      </c>
      <c r="H28">
        <v>153.25899999999999</v>
      </c>
      <c r="I28">
        <v>42.723999999999997</v>
      </c>
      <c r="J28">
        <v>7.9020000000000001</v>
      </c>
      <c r="K28">
        <v>230.45400000000001</v>
      </c>
      <c r="L28">
        <v>11.452999999999999</v>
      </c>
      <c r="M28">
        <v>52.52</v>
      </c>
      <c r="N28">
        <v>11.365</v>
      </c>
      <c r="O28">
        <v>1.0269999999999999</v>
      </c>
      <c r="P28">
        <v>0</v>
      </c>
      <c r="Q28">
        <v>82.492000000000004</v>
      </c>
      <c r="R28">
        <v>57</v>
      </c>
      <c r="S28">
        <v>34.799999999999997</v>
      </c>
    </row>
    <row r="29" spans="1:19" x14ac:dyDescent="0.3">
      <c r="A29" t="s">
        <v>383</v>
      </c>
      <c r="B29">
        <v>310.173</v>
      </c>
      <c r="C29">
        <v>75.125</v>
      </c>
      <c r="D29">
        <v>100</v>
      </c>
      <c r="E29">
        <v>0.48699999999999999</v>
      </c>
      <c r="F29">
        <v>84.632999999999996</v>
      </c>
      <c r="G29">
        <v>47.421999999999997</v>
      </c>
      <c r="H29">
        <v>153.119</v>
      </c>
      <c r="I29">
        <v>42.735999999999997</v>
      </c>
      <c r="J29">
        <v>7.8970000000000002</v>
      </c>
      <c r="K29">
        <v>230.142</v>
      </c>
      <c r="L29">
        <v>11.44</v>
      </c>
      <c r="M29">
        <v>52.436999999999998</v>
      </c>
      <c r="N29">
        <v>11.36</v>
      </c>
      <c r="O29">
        <v>1.0329999999999999</v>
      </c>
      <c r="P29">
        <v>0</v>
      </c>
      <c r="Q29">
        <v>82.472999999999999</v>
      </c>
      <c r="R29">
        <v>57</v>
      </c>
      <c r="S29">
        <v>34.799999999999997</v>
      </c>
    </row>
    <row r="30" spans="1:19" x14ac:dyDescent="0.3">
      <c r="A30" t="s">
        <v>384</v>
      </c>
      <c r="B30">
        <v>310.42500000000001</v>
      </c>
      <c r="C30">
        <v>75.165000000000006</v>
      </c>
      <c r="D30">
        <v>100</v>
      </c>
      <c r="E30">
        <v>0.503</v>
      </c>
      <c r="F30">
        <v>85.405000000000001</v>
      </c>
      <c r="G30">
        <v>46.911999999999999</v>
      </c>
      <c r="H30">
        <v>153.25</v>
      </c>
      <c r="I30">
        <v>42.521999999999998</v>
      </c>
      <c r="J30">
        <v>7.9020000000000001</v>
      </c>
      <c r="K30">
        <v>230.47</v>
      </c>
      <c r="L30">
        <v>11.45</v>
      </c>
      <c r="M30">
        <v>52.430999999999997</v>
      </c>
      <c r="N30">
        <v>11.364000000000001</v>
      </c>
      <c r="O30">
        <v>1.0249999999999999</v>
      </c>
      <c r="P30">
        <v>0</v>
      </c>
      <c r="Q30">
        <v>82.444999999999993</v>
      </c>
      <c r="R30">
        <v>57</v>
      </c>
      <c r="S30">
        <v>34.799999999999997</v>
      </c>
    </row>
    <row r="31" spans="1:19" x14ac:dyDescent="0.3">
      <c r="A31" t="s">
        <v>385</v>
      </c>
      <c r="B31">
        <v>309.92099999999999</v>
      </c>
      <c r="C31">
        <v>75.155000000000001</v>
      </c>
      <c r="D31">
        <v>100</v>
      </c>
      <c r="E31">
        <v>0.51100000000000001</v>
      </c>
      <c r="F31">
        <v>84.356999999999999</v>
      </c>
      <c r="G31">
        <v>47.088000000000001</v>
      </c>
      <c r="H31">
        <v>153.05000000000001</v>
      </c>
      <c r="I31">
        <v>42.448</v>
      </c>
      <c r="J31">
        <v>7.9009999999999998</v>
      </c>
      <c r="K31">
        <v>230.339</v>
      </c>
      <c r="L31">
        <v>11.443</v>
      </c>
      <c r="M31">
        <v>52.43</v>
      </c>
      <c r="N31">
        <v>11.367000000000001</v>
      </c>
      <c r="O31">
        <v>1.0289999999999999</v>
      </c>
      <c r="P31">
        <v>0</v>
      </c>
      <c r="Q31">
        <v>82.391999999999996</v>
      </c>
      <c r="R31">
        <v>57</v>
      </c>
      <c r="S31">
        <v>34.799999999999997</v>
      </c>
    </row>
    <row r="32" spans="1:19" x14ac:dyDescent="0.3">
      <c r="A32" t="s">
        <v>386</v>
      </c>
      <c r="B32">
        <v>310.00400000000002</v>
      </c>
      <c r="C32">
        <v>75.132000000000005</v>
      </c>
      <c r="D32">
        <v>100</v>
      </c>
      <c r="E32">
        <v>0.49199999999999999</v>
      </c>
      <c r="F32">
        <v>85.233999999999995</v>
      </c>
      <c r="G32">
        <v>46.927</v>
      </c>
      <c r="H32">
        <v>152.96199999999999</v>
      </c>
      <c r="I32">
        <v>42.710999999999999</v>
      </c>
      <c r="J32">
        <v>7.9039999999999999</v>
      </c>
      <c r="K32">
        <v>230.48599999999999</v>
      </c>
      <c r="L32">
        <v>11.473000000000001</v>
      </c>
      <c r="M32">
        <v>52.465000000000003</v>
      </c>
      <c r="N32">
        <v>11.362</v>
      </c>
      <c r="O32">
        <v>1.0189999999999999</v>
      </c>
      <c r="P32">
        <v>0</v>
      </c>
      <c r="Q32">
        <v>82.381</v>
      </c>
      <c r="R32">
        <v>57</v>
      </c>
      <c r="S32">
        <v>34.799999999999997</v>
      </c>
    </row>
    <row r="33" spans="1:19" x14ac:dyDescent="0.3">
      <c r="A33" t="s">
        <v>387</v>
      </c>
      <c r="B33">
        <v>309.53100000000001</v>
      </c>
      <c r="C33">
        <v>75.119</v>
      </c>
      <c r="D33">
        <v>100</v>
      </c>
      <c r="E33">
        <v>0.48699999999999999</v>
      </c>
      <c r="F33">
        <v>84.224999999999994</v>
      </c>
      <c r="G33">
        <v>46.701000000000001</v>
      </c>
      <c r="H33">
        <v>153.07</v>
      </c>
      <c r="I33">
        <v>42.521999999999998</v>
      </c>
      <c r="J33">
        <v>7.9020000000000001</v>
      </c>
      <c r="K33">
        <v>230.37200000000001</v>
      </c>
      <c r="L33">
        <v>11.525</v>
      </c>
      <c r="M33">
        <v>52.465000000000003</v>
      </c>
      <c r="N33">
        <v>11.36</v>
      </c>
      <c r="O33">
        <v>1.032</v>
      </c>
      <c r="P33">
        <v>0</v>
      </c>
      <c r="Q33">
        <v>82.37</v>
      </c>
      <c r="R33">
        <v>57</v>
      </c>
      <c r="S33">
        <v>34.799999999999997</v>
      </c>
    </row>
    <row r="34" spans="1:19" x14ac:dyDescent="0.3">
      <c r="A34" t="s">
        <v>388</v>
      </c>
      <c r="B34">
        <v>309.72000000000003</v>
      </c>
      <c r="C34">
        <v>75.066000000000003</v>
      </c>
      <c r="D34">
        <v>100</v>
      </c>
      <c r="E34">
        <v>0.47799999999999998</v>
      </c>
      <c r="F34">
        <v>84.730999999999995</v>
      </c>
      <c r="G34">
        <v>47.073</v>
      </c>
      <c r="H34">
        <v>152.822</v>
      </c>
      <c r="I34">
        <v>42.301000000000002</v>
      </c>
      <c r="J34">
        <v>7.9039999999999999</v>
      </c>
      <c r="K34">
        <v>230.51900000000001</v>
      </c>
      <c r="L34">
        <v>11.561999999999999</v>
      </c>
      <c r="M34">
        <v>52.575000000000003</v>
      </c>
      <c r="N34">
        <v>11.364000000000001</v>
      </c>
      <c r="O34">
        <v>1.0229999999999999</v>
      </c>
      <c r="P34">
        <v>0</v>
      </c>
      <c r="Q34">
        <v>82.328999999999994</v>
      </c>
      <c r="R34">
        <v>57</v>
      </c>
      <c r="S34">
        <v>34.799999999999997</v>
      </c>
    </row>
    <row r="35" spans="1:19" ht="15" thickBot="1" x14ac:dyDescent="0.35">
      <c r="A35" t="s">
        <v>389</v>
      </c>
      <c r="B35">
        <v>309.94099999999997</v>
      </c>
      <c r="C35">
        <v>75.119</v>
      </c>
      <c r="D35">
        <v>100</v>
      </c>
      <c r="E35">
        <v>0.49</v>
      </c>
      <c r="F35">
        <v>85.132000000000005</v>
      </c>
      <c r="G35">
        <v>46.25</v>
      </c>
      <c r="H35">
        <v>152.87799999999999</v>
      </c>
      <c r="I35">
        <v>42.654000000000003</v>
      </c>
      <c r="J35">
        <v>7.8979999999999997</v>
      </c>
      <c r="K35">
        <v>230.24</v>
      </c>
      <c r="L35">
        <v>11.548999999999999</v>
      </c>
      <c r="M35">
        <v>52.453000000000003</v>
      </c>
      <c r="N35">
        <v>11.362</v>
      </c>
      <c r="O35">
        <v>1.034</v>
      </c>
      <c r="P35">
        <v>0</v>
      </c>
      <c r="Q35">
        <v>82.302999999999997</v>
      </c>
      <c r="R35">
        <v>56.9</v>
      </c>
      <c r="S35">
        <v>34.799999999999997</v>
      </c>
    </row>
    <row r="36" spans="1:19" ht="15" thickBot="1" x14ac:dyDescent="0.35">
      <c r="A36" t="s">
        <v>30</v>
      </c>
      <c r="B36" s="1">
        <f>AVERAGE(B6:B35)</f>
        <v>311.04663333333338</v>
      </c>
      <c r="C36" s="1">
        <f>AVERAGE(C6:C35)</f>
        <v>75.35733333333333</v>
      </c>
      <c r="D36" s="1">
        <f t="shared" ref="D36:S36" si="0">AVERAGE(D6:D35)</f>
        <v>100</v>
      </c>
      <c r="E36" s="10">
        <f t="shared" si="0"/>
        <v>0.47733333333333328</v>
      </c>
      <c r="F36" s="1">
        <f t="shared" si="0"/>
        <v>84.921966666666677</v>
      </c>
      <c r="G36" s="1">
        <f t="shared" si="0"/>
        <v>47.667566666666659</v>
      </c>
      <c r="H36" s="10">
        <f t="shared" si="0"/>
        <v>153.47369999999998</v>
      </c>
      <c r="I36" s="1">
        <f t="shared" si="0"/>
        <v>42.602333333333341</v>
      </c>
      <c r="J36" s="8">
        <f t="shared" si="0"/>
        <v>7.9009333333333318</v>
      </c>
      <c r="K36" s="1">
        <f t="shared" si="0"/>
        <v>230.33980000000003</v>
      </c>
      <c r="L36" s="1">
        <f t="shared" si="0"/>
        <v>11.460599999999998</v>
      </c>
      <c r="M36" s="1">
        <f t="shared" si="0"/>
        <v>52.486233333333324</v>
      </c>
      <c r="N36" s="1">
        <f t="shared" si="0"/>
        <v>11.362833333333334</v>
      </c>
      <c r="O36" s="1">
        <f t="shared" si="0"/>
        <v>1.0283666666666667</v>
      </c>
      <c r="P36" s="1">
        <f t="shared" si="0"/>
        <v>0</v>
      </c>
      <c r="Q36" s="1">
        <f t="shared" si="0"/>
        <v>82.709633333333315</v>
      </c>
      <c r="R36" s="1">
        <f t="shared" si="0"/>
        <v>57</v>
      </c>
      <c r="S36" s="1">
        <f t="shared" si="0"/>
        <v>34.799999999999983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366B-A1C6-444A-9E93-152192640C0B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0.60729166666666667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2.9388111002121038</v>
      </c>
      <c r="M2" s="8">
        <f>100*(R36/(R36+Q36))</f>
        <v>42.027874040015611</v>
      </c>
      <c r="O2" s="9">
        <f>100*((E36*C2)/((E36*C2)+(K2*E2)))</f>
        <v>12.591083750780829</v>
      </c>
      <c r="Q2" s="10">
        <f>100*J36*(1/(((C2/3.6)*E36)+((E2/3.6)*K2)))</f>
        <v>21.505099249284449</v>
      </c>
      <c r="S2" s="6">
        <v>3.54</v>
      </c>
      <c r="U2" s="10">
        <f>100*((((G36*0.001*60)*(C36-D36)*(S2/3.6)))/(((C2/3.6)*E36)+((E2/3.6)*K2)))</f>
        <v>-136.01967427741653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330</v>
      </c>
      <c r="B6">
        <v>360.53699999999998</v>
      </c>
      <c r="C6">
        <v>78.912999999999997</v>
      </c>
      <c r="D6">
        <v>100</v>
      </c>
      <c r="E6">
        <v>0.502</v>
      </c>
      <c r="F6">
        <v>86.715999999999994</v>
      </c>
      <c r="G6">
        <v>50</v>
      </c>
      <c r="H6">
        <v>163.22200000000001</v>
      </c>
      <c r="I6">
        <v>44.472999999999999</v>
      </c>
      <c r="J6">
        <v>10.039</v>
      </c>
      <c r="K6">
        <v>229.994</v>
      </c>
      <c r="L6">
        <v>14.683</v>
      </c>
      <c r="M6">
        <v>52.545999999999999</v>
      </c>
      <c r="N6">
        <v>14.377000000000001</v>
      </c>
      <c r="O6">
        <v>1.0529999999999999</v>
      </c>
      <c r="P6">
        <v>0</v>
      </c>
      <c r="Q6">
        <v>86.534999999999997</v>
      </c>
      <c r="R6">
        <v>62.5</v>
      </c>
      <c r="S6">
        <v>42.9</v>
      </c>
    </row>
    <row r="7" spans="1:21" x14ac:dyDescent="0.3">
      <c r="A7" t="s">
        <v>331</v>
      </c>
      <c r="B7">
        <v>360.19400000000002</v>
      </c>
      <c r="C7">
        <v>78.870999999999995</v>
      </c>
      <c r="D7">
        <v>100</v>
      </c>
      <c r="E7">
        <v>0.45600000000000002</v>
      </c>
      <c r="F7">
        <v>87.956999999999994</v>
      </c>
      <c r="G7">
        <v>50</v>
      </c>
      <c r="H7">
        <v>163.17099999999999</v>
      </c>
      <c r="I7">
        <v>44.243000000000002</v>
      </c>
      <c r="J7">
        <v>10.055</v>
      </c>
      <c r="K7">
        <v>230.24</v>
      </c>
      <c r="L7">
        <v>14.689</v>
      </c>
      <c r="M7">
        <v>52.673999999999999</v>
      </c>
      <c r="N7">
        <v>14.393000000000001</v>
      </c>
      <c r="O7">
        <v>1.0509999999999999</v>
      </c>
      <c r="P7">
        <v>0</v>
      </c>
      <c r="Q7">
        <v>86.507000000000005</v>
      </c>
      <c r="R7">
        <v>62.5</v>
      </c>
      <c r="S7">
        <v>42.9</v>
      </c>
    </row>
    <row r="8" spans="1:21" x14ac:dyDescent="0.3">
      <c r="A8" t="s">
        <v>332</v>
      </c>
      <c r="B8">
        <v>359.62799999999999</v>
      </c>
      <c r="C8">
        <v>78.808000000000007</v>
      </c>
      <c r="D8">
        <v>100</v>
      </c>
      <c r="E8">
        <v>0.52400000000000002</v>
      </c>
      <c r="F8">
        <v>85.97</v>
      </c>
      <c r="G8">
        <v>50</v>
      </c>
      <c r="H8">
        <v>163.077</v>
      </c>
      <c r="I8">
        <v>44.345999999999997</v>
      </c>
      <c r="J8">
        <v>10.045999999999999</v>
      </c>
      <c r="K8">
        <v>229.94399999999999</v>
      </c>
      <c r="L8">
        <v>14.601000000000001</v>
      </c>
      <c r="M8">
        <v>52.738999999999997</v>
      </c>
      <c r="N8">
        <v>14.398</v>
      </c>
      <c r="O8">
        <v>1.054</v>
      </c>
      <c r="P8">
        <v>0</v>
      </c>
      <c r="Q8">
        <v>86.49</v>
      </c>
      <c r="R8">
        <v>62.5</v>
      </c>
      <c r="S8">
        <v>42.9</v>
      </c>
    </row>
    <row r="9" spans="1:21" x14ac:dyDescent="0.3">
      <c r="A9" t="s">
        <v>333</v>
      </c>
      <c r="B9">
        <v>359.95600000000002</v>
      </c>
      <c r="C9">
        <v>78.814999999999998</v>
      </c>
      <c r="D9">
        <v>100</v>
      </c>
      <c r="E9">
        <v>0.45700000000000002</v>
      </c>
      <c r="F9">
        <v>87.977000000000004</v>
      </c>
      <c r="G9">
        <v>50</v>
      </c>
      <c r="H9">
        <v>163.053</v>
      </c>
      <c r="I9">
        <v>44.164999999999999</v>
      </c>
      <c r="J9">
        <v>10.052</v>
      </c>
      <c r="K9">
        <v>229.977</v>
      </c>
      <c r="L9">
        <v>14.567</v>
      </c>
      <c r="M9">
        <v>52.567</v>
      </c>
      <c r="N9">
        <v>14.394</v>
      </c>
      <c r="O9">
        <v>1.04</v>
      </c>
      <c r="P9">
        <v>0</v>
      </c>
      <c r="Q9">
        <v>86.474000000000004</v>
      </c>
      <c r="R9">
        <v>62.5</v>
      </c>
      <c r="S9">
        <v>42.9</v>
      </c>
    </row>
    <row r="10" spans="1:21" x14ac:dyDescent="0.3">
      <c r="A10" t="s">
        <v>334</v>
      </c>
      <c r="B10">
        <v>359.28899999999999</v>
      </c>
      <c r="C10">
        <v>78.611000000000004</v>
      </c>
      <c r="D10">
        <v>100</v>
      </c>
      <c r="E10">
        <v>0.501</v>
      </c>
      <c r="F10">
        <v>86.923000000000002</v>
      </c>
      <c r="G10">
        <v>50</v>
      </c>
      <c r="H10">
        <v>163.143</v>
      </c>
      <c r="I10">
        <v>44.345999999999997</v>
      </c>
      <c r="J10">
        <v>10.045999999999999</v>
      </c>
      <c r="K10">
        <v>230.17400000000001</v>
      </c>
      <c r="L10">
        <v>14.585000000000001</v>
      </c>
      <c r="M10">
        <v>52.600999999999999</v>
      </c>
      <c r="N10">
        <v>14.385</v>
      </c>
      <c r="O10">
        <v>1.044</v>
      </c>
      <c r="P10">
        <v>0</v>
      </c>
      <c r="Q10">
        <v>86.460999999999999</v>
      </c>
      <c r="R10">
        <v>62.5</v>
      </c>
      <c r="S10">
        <v>42.9</v>
      </c>
    </row>
    <row r="11" spans="1:21" x14ac:dyDescent="0.3">
      <c r="A11" t="s">
        <v>335</v>
      </c>
      <c r="B11">
        <v>359.12900000000002</v>
      </c>
      <c r="C11">
        <v>78.584999999999994</v>
      </c>
      <c r="D11">
        <v>100</v>
      </c>
      <c r="E11">
        <v>0.505</v>
      </c>
      <c r="F11">
        <v>86.846999999999994</v>
      </c>
      <c r="G11">
        <v>50</v>
      </c>
      <c r="H11">
        <v>163.14599999999999</v>
      </c>
      <c r="I11">
        <v>44.234999999999999</v>
      </c>
      <c r="J11">
        <v>10.048999999999999</v>
      </c>
      <c r="K11">
        <v>230.01</v>
      </c>
      <c r="L11">
        <v>14.590999999999999</v>
      </c>
      <c r="M11">
        <v>52.545999999999999</v>
      </c>
      <c r="N11">
        <v>14.388999999999999</v>
      </c>
      <c r="O11">
        <v>1.0669999999999999</v>
      </c>
      <c r="P11">
        <v>0</v>
      </c>
      <c r="Q11">
        <v>86.436999999999998</v>
      </c>
      <c r="R11">
        <v>62.5</v>
      </c>
      <c r="S11">
        <v>42.9</v>
      </c>
    </row>
    <row r="12" spans="1:21" x14ac:dyDescent="0.3">
      <c r="A12" t="s">
        <v>336</v>
      </c>
      <c r="B12">
        <v>359.50900000000001</v>
      </c>
      <c r="C12">
        <v>78.552000000000007</v>
      </c>
      <c r="D12">
        <v>100</v>
      </c>
      <c r="E12">
        <v>0.48599999999999999</v>
      </c>
      <c r="F12">
        <v>87.747</v>
      </c>
      <c r="G12">
        <v>50</v>
      </c>
      <c r="H12">
        <v>163.124</v>
      </c>
      <c r="I12">
        <v>44.28</v>
      </c>
      <c r="J12">
        <v>10.042</v>
      </c>
      <c r="K12">
        <v>230.04300000000001</v>
      </c>
      <c r="L12">
        <v>14.583</v>
      </c>
      <c r="M12">
        <v>52.579000000000001</v>
      </c>
      <c r="N12">
        <v>14.382</v>
      </c>
      <c r="O12">
        <v>1.052</v>
      </c>
      <c r="P12">
        <v>0</v>
      </c>
      <c r="Q12">
        <v>86.436000000000007</v>
      </c>
      <c r="R12">
        <v>62.5</v>
      </c>
      <c r="S12">
        <v>42.9</v>
      </c>
    </row>
    <row r="13" spans="1:21" x14ac:dyDescent="0.3">
      <c r="A13" t="s">
        <v>337</v>
      </c>
      <c r="B13">
        <v>359.84800000000001</v>
      </c>
      <c r="C13">
        <v>78.637</v>
      </c>
      <c r="D13">
        <v>100</v>
      </c>
      <c r="E13">
        <v>0.52900000000000003</v>
      </c>
      <c r="F13">
        <v>88.411000000000001</v>
      </c>
      <c r="G13">
        <v>50</v>
      </c>
      <c r="H13">
        <v>163.18299999999999</v>
      </c>
      <c r="I13">
        <v>44.502000000000002</v>
      </c>
      <c r="J13">
        <v>10.051</v>
      </c>
      <c r="K13">
        <v>230.15799999999999</v>
      </c>
      <c r="L13">
        <v>14.59</v>
      </c>
      <c r="M13">
        <v>52.552</v>
      </c>
      <c r="N13">
        <v>14.382</v>
      </c>
      <c r="O13">
        <v>1.0529999999999999</v>
      </c>
      <c r="P13">
        <v>0</v>
      </c>
      <c r="Q13">
        <v>86.402000000000001</v>
      </c>
      <c r="R13">
        <v>62.6</v>
      </c>
      <c r="S13">
        <v>42.9</v>
      </c>
    </row>
    <row r="14" spans="1:21" x14ac:dyDescent="0.3">
      <c r="A14" t="s">
        <v>338</v>
      </c>
      <c r="B14">
        <v>359.45100000000002</v>
      </c>
      <c r="C14">
        <v>78.590999999999994</v>
      </c>
      <c r="D14">
        <v>100</v>
      </c>
      <c r="E14">
        <v>0.51500000000000001</v>
      </c>
      <c r="F14">
        <v>87.194999999999993</v>
      </c>
      <c r="G14">
        <v>50</v>
      </c>
      <c r="H14">
        <v>163.12299999999999</v>
      </c>
      <c r="I14">
        <v>44.465000000000003</v>
      </c>
      <c r="J14">
        <v>10.048</v>
      </c>
      <c r="K14">
        <v>230.191</v>
      </c>
      <c r="L14">
        <v>14.6</v>
      </c>
      <c r="M14">
        <v>52.66</v>
      </c>
      <c r="N14">
        <v>14.371</v>
      </c>
      <c r="O14">
        <v>1.0449999999999999</v>
      </c>
      <c r="P14">
        <v>0</v>
      </c>
      <c r="Q14">
        <v>86.378</v>
      </c>
      <c r="R14">
        <v>62.5</v>
      </c>
      <c r="S14">
        <v>42.9</v>
      </c>
    </row>
    <row r="15" spans="1:21" x14ac:dyDescent="0.3">
      <c r="A15" t="s">
        <v>339</v>
      </c>
      <c r="B15">
        <v>359.16300000000001</v>
      </c>
      <c r="C15">
        <v>78.597999999999999</v>
      </c>
      <c r="D15">
        <v>100</v>
      </c>
      <c r="E15">
        <v>0.47199999999999998</v>
      </c>
      <c r="F15">
        <v>85.953000000000003</v>
      </c>
      <c r="G15">
        <v>50</v>
      </c>
      <c r="H15">
        <v>163.03899999999999</v>
      </c>
      <c r="I15">
        <v>44.218000000000004</v>
      </c>
      <c r="J15">
        <v>10.048</v>
      </c>
      <c r="K15">
        <v>229.977</v>
      </c>
      <c r="L15">
        <v>14.584</v>
      </c>
      <c r="M15">
        <v>52.732999999999997</v>
      </c>
      <c r="N15">
        <v>14.379</v>
      </c>
      <c r="O15">
        <v>1.0449999999999999</v>
      </c>
      <c r="P15">
        <v>0</v>
      </c>
      <c r="Q15">
        <v>86.397000000000006</v>
      </c>
      <c r="R15">
        <v>62.5</v>
      </c>
      <c r="S15">
        <v>42.9</v>
      </c>
    </row>
    <row r="16" spans="1:21" x14ac:dyDescent="0.3">
      <c r="A16" t="s">
        <v>340</v>
      </c>
      <c r="B16">
        <v>358.4</v>
      </c>
      <c r="C16">
        <v>78.567999999999998</v>
      </c>
      <c r="D16">
        <v>100</v>
      </c>
      <c r="E16">
        <v>0.51800000000000002</v>
      </c>
      <c r="F16">
        <v>86.745000000000005</v>
      </c>
      <c r="G16">
        <v>50</v>
      </c>
      <c r="H16">
        <v>163.143</v>
      </c>
      <c r="I16">
        <v>44.341999999999999</v>
      </c>
      <c r="J16">
        <v>10.048999999999999</v>
      </c>
      <c r="K16">
        <v>230.20699999999999</v>
      </c>
      <c r="L16">
        <v>14.593999999999999</v>
      </c>
      <c r="M16">
        <v>52.521999999999998</v>
      </c>
      <c r="N16">
        <v>14.382999999999999</v>
      </c>
      <c r="O16">
        <v>1.0509999999999999</v>
      </c>
      <c r="P16">
        <v>0</v>
      </c>
      <c r="Q16">
        <v>86.370999999999995</v>
      </c>
      <c r="R16">
        <v>62.5</v>
      </c>
      <c r="S16">
        <v>42.9</v>
      </c>
    </row>
    <row r="17" spans="1:19" x14ac:dyDescent="0.3">
      <c r="A17" t="s">
        <v>341</v>
      </c>
      <c r="B17">
        <v>359.02</v>
      </c>
      <c r="C17">
        <v>78.578000000000003</v>
      </c>
      <c r="D17">
        <v>100</v>
      </c>
      <c r="E17">
        <v>0.51200000000000001</v>
      </c>
      <c r="F17">
        <v>87.257999999999996</v>
      </c>
      <c r="G17">
        <v>50</v>
      </c>
      <c r="H17">
        <v>163.054</v>
      </c>
      <c r="I17">
        <v>44.37</v>
      </c>
      <c r="J17">
        <v>10.054</v>
      </c>
      <c r="K17">
        <v>230.20699999999999</v>
      </c>
      <c r="L17">
        <v>14.598000000000001</v>
      </c>
      <c r="M17">
        <v>52.701999999999998</v>
      </c>
      <c r="N17">
        <v>14.381</v>
      </c>
      <c r="O17">
        <v>1.052</v>
      </c>
      <c r="P17">
        <v>0</v>
      </c>
      <c r="Q17">
        <v>86.337999999999994</v>
      </c>
      <c r="R17">
        <v>62.5</v>
      </c>
      <c r="S17">
        <v>42.9</v>
      </c>
    </row>
    <row r="18" spans="1:19" x14ac:dyDescent="0.3">
      <c r="A18" t="s">
        <v>342</v>
      </c>
      <c r="B18">
        <v>358.55700000000002</v>
      </c>
      <c r="C18">
        <v>78.495999999999995</v>
      </c>
      <c r="D18">
        <v>100</v>
      </c>
      <c r="E18">
        <v>0.48499999999999999</v>
      </c>
      <c r="F18">
        <v>87.933999999999997</v>
      </c>
      <c r="G18">
        <v>50</v>
      </c>
      <c r="H18">
        <v>163.29499999999999</v>
      </c>
      <c r="I18">
        <v>44.637</v>
      </c>
      <c r="J18">
        <v>10.050000000000001</v>
      </c>
      <c r="K18">
        <v>230.24</v>
      </c>
      <c r="L18">
        <v>14.589</v>
      </c>
      <c r="M18">
        <v>52.53</v>
      </c>
      <c r="N18">
        <v>14.385</v>
      </c>
      <c r="O18">
        <v>1.0589999999999999</v>
      </c>
      <c r="P18">
        <v>0</v>
      </c>
      <c r="Q18">
        <v>86.323999999999998</v>
      </c>
      <c r="R18">
        <v>62.5</v>
      </c>
      <c r="S18">
        <v>42.9</v>
      </c>
    </row>
    <row r="19" spans="1:19" x14ac:dyDescent="0.3">
      <c r="A19" t="s">
        <v>343</v>
      </c>
      <c r="B19">
        <v>358.91199999999998</v>
      </c>
      <c r="C19">
        <v>78.506</v>
      </c>
      <c r="D19">
        <v>100</v>
      </c>
      <c r="E19">
        <v>0.51700000000000002</v>
      </c>
      <c r="F19">
        <v>87.230999999999995</v>
      </c>
      <c r="G19">
        <v>50</v>
      </c>
      <c r="H19">
        <v>163.19</v>
      </c>
      <c r="I19">
        <v>44.292000000000002</v>
      </c>
      <c r="J19">
        <v>10.048999999999999</v>
      </c>
      <c r="K19">
        <v>230.04300000000001</v>
      </c>
      <c r="L19">
        <v>14.587</v>
      </c>
      <c r="M19">
        <v>52.585000000000001</v>
      </c>
      <c r="N19">
        <v>14.378</v>
      </c>
      <c r="O19">
        <v>1.0449999999999999</v>
      </c>
      <c r="P19">
        <v>0</v>
      </c>
      <c r="Q19">
        <v>86.284999999999997</v>
      </c>
      <c r="R19">
        <v>62.5</v>
      </c>
      <c r="S19">
        <v>42.9</v>
      </c>
    </row>
    <row r="20" spans="1:19" x14ac:dyDescent="0.3">
      <c r="A20" t="s">
        <v>344</v>
      </c>
      <c r="B20">
        <v>359.15800000000002</v>
      </c>
      <c r="C20">
        <v>78.545000000000002</v>
      </c>
      <c r="D20">
        <v>100</v>
      </c>
      <c r="E20">
        <v>0.48</v>
      </c>
      <c r="F20">
        <v>86.87</v>
      </c>
      <c r="G20">
        <v>50</v>
      </c>
      <c r="H20">
        <v>163.148</v>
      </c>
      <c r="I20">
        <v>44.283999999999999</v>
      </c>
      <c r="J20">
        <v>10.045</v>
      </c>
      <c r="K20">
        <v>230.125</v>
      </c>
      <c r="L20">
        <v>14.596</v>
      </c>
      <c r="M20">
        <v>52.561999999999998</v>
      </c>
      <c r="N20">
        <v>14.379</v>
      </c>
      <c r="O20">
        <v>1.052</v>
      </c>
      <c r="P20">
        <v>0</v>
      </c>
      <c r="Q20">
        <v>86.278000000000006</v>
      </c>
      <c r="R20">
        <v>62.5</v>
      </c>
      <c r="S20">
        <v>42.9</v>
      </c>
    </row>
    <row r="21" spans="1:19" x14ac:dyDescent="0.3">
      <c r="A21" t="s">
        <v>345</v>
      </c>
      <c r="B21">
        <v>359.08600000000001</v>
      </c>
      <c r="C21">
        <v>78.475999999999999</v>
      </c>
      <c r="D21">
        <v>100</v>
      </c>
      <c r="E21">
        <v>0.44800000000000001</v>
      </c>
      <c r="F21">
        <v>87.35</v>
      </c>
      <c r="G21">
        <v>50</v>
      </c>
      <c r="H21">
        <v>163.17599999999999</v>
      </c>
      <c r="I21">
        <v>44.731999999999999</v>
      </c>
      <c r="J21">
        <v>10.050000000000001</v>
      </c>
      <c r="K21">
        <v>229.977</v>
      </c>
      <c r="L21">
        <v>14.587999999999999</v>
      </c>
      <c r="M21">
        <v>52.654000000000003</v>
      </c>
      <c r="N21">
        <v>14.382</v>
      </c>
      <c r="O21">
        <v>1.0569999999999999</v>
      </c>
      <c r="P21">
        <v>0</v>
      </c>
      <c r="Q21">
        <v>86.259</v>
      </c>
      <c r="R21">
        <v>62.6</v>
      </c>
      <c r="S21">
        <v>42.9</v>
      </c>
    </row>
    <row r="22" spans="1:19" x14ac:dyDescent="0.3">
      <c r="A22" t="s">
        <v>346</v>
      </c>
      <c r="B22">
        <v>357.85899999999998</v>
      </c>
      <c r="C22">
        <v>78.509</v>
      </c>
      <c r="D22">
        <v>100</v>
      </c>
      <c r="E22">
        <v>0.53600000000000003</v>
      </c>
      <c r="F22">
        <v>86.596999999999994</v>
      </c>
      <c r="G22">
        <v>50</v>
      </c>
      <c r="H22">
        <v>163.23099999999999</v>
      </c>
      <c r="I22">
        <v>44.484999999999999</v>
      </c>
      <c r="J22">
        <v>10.050000000000001</v>
      </c>
      <c r="K22">
        <v>230.15799999999999</v>
      </c>
      <c r="L22">
        <v>14.598000000000001</v>
      </c>
      <c r="M22">
        <v>52.616999999999997</v>
      </c>
      <c r="N22">
        <v>14.375</v>
      </c>
      <c r="O22">
        <v>1.0409999999999999</v>
      </c>
      <c r="P22">
        <v>0</v>
      </c>
      <c r="Q22">
        <v>86.257999999999996</v>
      </c>
      <c r="R22">
        <v>62.6</v>
      </c>
      <c r="S22">
        <v>42.9</v>
      </c>
    </row>
    <row r="23" spans="1:19" x14ac:dyDescent="0.3">
      <c r="A23" t="s">
        <v>347</v>
      </c>
      <c r="B23">
        <v>358.608</v>
      </c>
      <c r="C23">
        <v>78.498999999999995</v>
      </c>
      <c r="D23">
        <v>100</v>
      </c>
      <c r="E23">
        <v>0.47199999999999998</v>
      </c>
      <c r="F23">
        <v>86.275000000000006</v>
      </c>
      <c r="G23">
        <v>50</v>
      </c>
      <c r="H23">
        <v>163.196</v>
      </c>
      <c r="I23">
        <v>44.432000000000002</v>
      </c>
      <c r="J23">
        <v>10.042999999999999</v>
      </c>
      <c r="K23">
        <v>229.846</v>
      </c>
      <c r="L23">
        <v>14.585000000000001</v>
      </c>
      <c r="M23">
        <v>52.615000000000002</v>
      </c>
      <c r="N23">
        <v>14.372999999999999</v>
      </c>
      <c r="O23">
        <v>1.056</v>
      </c>
      <c r="P23">
        <v>0</v>
      </c>
      <c r="Q23">
        <v>86.227999999999994</v>
      </c>
      <c r="R23">
        <v>62.5</v>
      </c>
      <c r="S23">
        <v>42.9</v>
      </c>
    </row>
    <row r="24" spans="1:19" x14ac:dyDescent="0.3">
      <c r="A24" t="s">
        <v>348</v>
      </c>
      <c r="B24">
        <v>358.19</v>
      </c>
      <c r="C24">
        <v>78.403999999999996</v>
      </c>
      <c r="D24">
        <v>100</v>
      </c>
      <c r="E24">
        <v>0.498</v>
      </c>
      <c r="F24">
        <v>86.724999999999994</v>
      </c>
      <c r="G24">
        <v>50</v>
      </c>
      <c r="H24">
        <v>163.108</v>
      </c>
      <c r="I24">
        <v>44.488999999999997</v>
      </c>
      <c r="J24">
        <v>10.054</v>
      </c>
      <c r="K24">
        <v>230.22399999999999</v>
      </c>
      <c r="L24">
        <v>14.589</v>
      </c>
      <c r="M24">
        <v>52.671999999999997</v>
      </c>
      <c r="N24">
        <v>14.39</v>
      </c>
      <c r="O24">
        <v>1.052</v>
      </c>
      <c r="P24">
        <v>0</v>
      </c>
      <c r="Q24">
        <v>86.218000000000004</v>
      </c>
      <c r="R24">
        <v>62.6</v>
      </c>
      <c r="S24">
        <v>42.9</v>
      </c>
    </row>
    <row r="25" spans="1:19" x14ac:dyDescent="0.3">
      <c r="A25" t="s">
        <v>349</v>
      </c>
      <c r="B25">
        <v>357.84399999999999</v>
      </c>
      <c r="C25">
        <v>78.384</v>
      </c>
      <c r="D25">
        <v>100</v>
      </c>
      <c r="E25">
        <v>0.505</v>
      </c>
      <c r="F25">
        <v>86.075000000000003</v>
      </c>
      <c r="G25">
        <v>50</v>
      </c>
      <c r="H25">
        <v>163.24100000000001</v>
      </c>
      <c r="I25">
        <v>44.518000000000001</v>
      </c>
      <c r="J25">
        <v>10.045999999999999</v>
      </c>
      <c r="K25">
        <v>229.81299999999999</v>
      </c>
      <c r="L25">
        <v>14.583</v>
      </c>
      <c r="M25">
        <v>52.564</v>
      </c>
      <c r="N25">
        <v>14.378</v>
      </c>
      <c r="O25">
        <v>1.0429999999999999</v>
      </c>
      <c r="P25">
        <v>0</v>
      </c>
      <c r="Q25">
        <v>86.203999999999994</v>
      </c>
      <c r="R25">
        <v>62.6</v>
      </c>
      <c r="S25">
        <v>42.9</v>
      </c>
    </row>
    <row r="26" spans="1:19" x14ac:dyDescent="0.3">
      <c r="A26" t="s">
        <v>350</v>
      </c>
      <c r="B26">
        <v>357.392</v>
      </c>
      <c r="C26">
        <v>78.319000000000003</v>
      </c>
      <c r="D26">
        <v>100</v>
      </c>
      <c r="E26">
        <v>0.47499999999999998</v>
      </c>
      <c r="F26">
        <v>87.204999999999998</v>
      </c>
      <c r="G26">
        <v>50</v>
      </c>
      <c r="H26">
        <v>163.126</v>
      </c>
      <c r="I26">
        <v>44.14</v>
      </c>
      <c r="J26">
        <v>10.051</v>
      </c>
      <c r="K26">
        <v>230.191</v>
      </c>
      <c r="L26">
        <v>14.601000000000001</v>
      </c>
      <c r="M26">
        <v>52.537999999999997</v>
      </c>
      <c r="N26">
        <v>14.377000000000001</v>
      </c>
      <c r="O26">
        <v>1.0489999999999999</v>
      </c>
      <c r="P26">
        <v>0</v>
      </c>
      <c r="Q26">
        <v>86.18</v>
      </c>
      <c r="R26">
        <v>62.5</v>
      </c>
      <c r="S26">
        <v>42.9</v>
      </c>
    </row>
    <row r="27" spans="1:19" x14ac:dyDescent="0.3">
      <c r="A27" t="s">
        <v>351</v>
      </c>
      <c r="B27">
        <v>358.02499999999998</v>
      </c>
      <c r="C27">
        <v>78.344999999999999</v>
      </c>
      <c r="D27">
        <v>100</v>
      </c>
      <c r="E27">
        <v>0.52600000000000002</v>
      </c>
      <c r="F27">
        <v>86.259</v>
      </c>
      <c r="G27">
        <v>50</v>
      </c>
      <c r="H27">
        <v>163.16999999999999</v>
      </c>
      <c r="I27">
        <v>44.411000000000001</v>
      </c>
      <c r="J27">
        <v>10.045</v>
      </c>
      <c r="K27">
        <v>229.846</v>
      </c>
      <c r="L27">
        <v>14.564</v>
      </c>
      <c r="M27">
        <v>52.654000000000003</v>
      </c>
      <c r="N27">
        <v>14.38</v>
      </c>
      <c r="O27">
        <v>1.052</v>
      </c>
      <c r="P27">
        <v>0</v>
      </c>
      <c r="Q27">
        <v>86.159000000000006</v>
      </c>
      <c r="R27">
        <v>62.6</v>
      </c>
      <c r="S27">
        <v>42.9</v>
      </c>
    </row>
    <row r="28" spans="1:19" x14ac:dyDescent="0.3">
      <c r="A28" t="s">
        <v>352</v>
      </c>
      <c r="B28">
        <v>357.99099999999999</v>
      </c>
      <c r="C28">
        <v>78.347999999999999</v>
      </c>
      <c r="D28">
        <v>100</v>
      </c>
      <c r="E28">
        <v>0.48499999999999999</v>
      </c>
      <c r="F28">
        <v>86.676000000000002</v>
      </c>
      <c r="G28">
        <v>50</v>
      </c>
      <c r="H28">
        <v>163.15</v>
      </c>
      <c r="I28">
        <v>44.131999999999998</v>
      </c>
      <c r="J28">
        <v>10.055999999999999</v>
      </c>
      <c r="K28">
        <v>230.28899999999999</v>
      </c>
      <c r="L28">
        <v>14.603999999999999</v>
      </c>
      <c r="M28">
        <v>52.587000000000003</v>
      </c>
      <c r="N28">
        <v>14.391999999999999</v>
      </c>
      <c r="O28">
        <v>1.0449999999999999</v>
      </c>
      <c r="P28">
        <v>0</v>
      </c>
      <c r="Q28">
        <v>86.123000000000005</v>
      </c>
      <c r="R28">
        <v>62.6</v>
      </c>
      <c r="S28">
        <v>42.9</v>
      </c>
    </row>
    <row r="29" spans="1:19" x14ac:dyDescent="0.3">
      <c r="A29" t="s">
        <v>353</v>
      </c>
      <c r="B29">
        <v>357.24200000000002</v>
      </c>
      <c r="C29">
        <v>78.278999999999996</v>
      </c>
      <c r="D29">
        <v>100</v>
      </c>
      <c r="E29">
        <v>0.49399999999999999</v>
      </c>
      <c r="F29">
        <v>86.278999999999996</v>
      </c>
      <c r="G29">
        <v>50</v>
      </c>
      <c r="H29">
        <v>163.22399999999999</v>
      </c>
      <c r="I29">
        <v>44.329000000000001</v>
      </c>
      <c r="J29">
        <v>10.039999999999999</v>
      </c>
      <c r="K29">
        <v>229.68199999999999</v>
      </c>
      <c r="L29">
        <v>14.576000000000001</v>
      </c>
      <c r="M29">
        <v>52.683999999999997</v>
      </c>
      <c r="N29">
        <v>14.385999999999999</v>
      </c>
      <c r="O29">
        <v>1.0489999999999999</v>
      </c>
      <c r="P29">
        <v>0</v>
      </c>
      <c r="Q29">
        <v>86.125</v>
      </c>
      <c r="R29">
        <v>62.6</v>
      </c>
      <c r="S29">
        <v>42.9</v>
      </c>
    </row>
    <row r="30" spans="1:19" x14ac:dyDescent="0.3">
      <c r="A30" t="s">
        <v>354</v>
      </c>
      <c r="B30">
        <v>357.89299999999997</v>
      </c>
      <c r="C30">
        <v>78.296000000000006</v>
      </c>
      <c r="D30">
        <v>100</v>
      </c>
      <c r="E30">
        <v>0.52300000000000002</v>
      </c>
      <c r="F30">
        <v>86.67</v>
      </c>
      <c r="G30">
        <v>50</v>
      </c>
      <c r="H30">
        <v>163.167</v>
      </c>
      <c r="I30">
        <v>44.526000000000003</v>
      </c>
      <c r="J30">
        <v>10.054</v>
      </c>
      <c r="K30">
        <v>230.15799999999999</v>
      </c>
      <c r="L30">
        <v>14.603</v>
      </c>
      <c r="M30">
        <v>52.661999999999999</v>
      </c>
      <c r="N30">
        <v>14.387</v>
      </c>
      <c r="O30">
        <v>1.0449999999999999</v>
      </c>
      <c r="P30">
        <v>0</v>
      </c>
      <c r="Q30">
        <v>86.1</v>
      </c>
      <c r="R30">
        <v>62.6</v>
      </c>
      <c r="S30">
        <v>42.9</v>
      </c>
    </row>
    <row r="31" spans="1:19" x14ac:dyDescent="0.3">
      <c r="A31" t="s">
        <v>355</v>
      </c>
      <c r="B31">
        <v>356.80599999999998</v>
      </c>
      <c r="C31">
        <v>78.183999999999997</v>
      </c>
      <c r="D31">
        <v>100</v>
      </c>
      <c r="E31">
        <v>0.46400000000000002</v>
      </c>
      <c r="F31">
        <v>86.962000000000003</v>
      </c>
      <c r="G31">
        <v>50</v>
      </c>
      <c r="H31">
        <v>163.20500000000001</v>
      </c>
      <c r="I31">
        <v>44.070999999999998</v>
      </c>
      <c r="J31">
        <v>10.045</v>
      </c>
      <c r="K31">
        <v>229.86199999999999</v>
      </c>
      <c r="L31">
        <v>14.577</v>
      </c>
      <c r="M31">
        <v>52.625</v>
      </c>
      <c r="N31">
        <v>14.384</v>
      </c>
      <c r="O31">
        <v>1.0509999999999999</v>
      </c>
      <c r="P31">
        <v>0</v>
      </c>
      <c r="Q31">
        <v>86.102999999999994</v>
      </c>
      <c r="R31">
        <v>62.6</v>
      </c>
      <c r="S31">
        <v>42.9</v>
      </c>
    </row>
    <row r="32" spans="1:19" x14ac:dyDescent="0.3">
      <c r="A32" t="s">
        <v>356</v>
      </c>
      <c r="B32">
        <v>357.14400000000001</v>
      </c>
      <c r="C32">
        <v>78.233000000000004</v>
      </c>
      <c r="D32">
        <v>100</v>
      </c>
      <c r="E32">
        <v>0.48599999999999999</v>
      </c>
      <c r="F32">
        <v>86.647000000000006</v>
      </c>
      <c r="G32">
        <v>50</v>
      </c>
      <c r="H32">
        <v>163.221</v>
      </c>
      <c r="I32">
        <v>44.247</v>
      </c>
      <c r="J32">
        <v>10.053000000000001</v>
      </c>
      <c r="K32">
        <v>230.20699999999999</v>
      </c>
      <c r="L32">
        <v>14.593</v>
      </c>
      <c r="M32">
        <v>52.554000000000002</v>
      </c>
      <c r="N32">
        <v>14.388</v>
      </c>
      <c r="O32">
        <v>1.0449999999999999</v>
      </c>
      <c r="P32">
        <v>0</v>
      </c>
      <c r="Q32">
        <v>86.075000000000003</v>
      </c>
      <c r="R32">
        <v>62.6</v>
      </c>
      <c r="S32">
        <v>42.9</v>
      </c>
    </row>
    <row r="33" spans="1:19" x14ac:dyDescent="0.3">
      <c r="A33" t="s">
        <v>357</v>
      </c>
      <c r="B33">
        <v>356.94499999999999</v>
      </c>
      <c r="C33">
        <v>78.075999999999993</v>
      </c>
      <c r="D33">
        <v>100</v>
      </c>
      <c r="E33">
        <v>0.52300000000000002</v>
      </c>
      <c r="F33">
        <v>86.108000000000004</v>
      </c>
      <c r="G33">
        <v>50</v>
      </c>
      <c r="H33">
        <v>163.137</v>
      </c>
      <c r="I33">
        <v>44.012999999999998</v>
      </c>
      <c r="J33">
        <v>10.038</v>
      </c>
      <c r="K33">
        <v>230.04300000000001</v>
      </c>
      <c r="L33">
        <v>14.590999999999999</v>
      </c>
      <c r="M33">
        <v>52.488999999999997</v>
      </c>
      <c r="N33">
        <v>14.385</v>
      </c>
      <c r="O33">
        <v>1.0449999999999999</v>
      </c>
      <c r="P33">
        <v>0</v>
      </c>
      <c r="Q33">
        <v>86.052000000000007</v>
      </c>
      <c r="R33">
        <v>62.6</v>
      </c>
      <c r="S33">
        <v>42.9</v>
      </c>
    </row>
    <row r="34" spans="1:19" x14ac:dyDescent="0.3">
      <c r="A34" t="s">
        <v>358</v>
      </c>
      <c r="B34">
        <v>357.77699999999999</v>
      </c>
      <c r="C34">
        <v>77.816000000000003</v>
      </c>
      <c r="D34">
        <v>100</v>
      </c>
      <c r="E34">
        <v>0.49199999999999999</v>
      </c>
      <c r="F34">
        <v>86.846999999999994</v>
      </c>
      <c r="G34">
        <v>50</v>
      </c>
      <c r="H34">
        <v>163.15100000000001</v>
      </c>
      <c r="I34">
        <v>43.96</v>
      </c>
      <c r="J34">
        <v>10.055</v>
      </c>
      <c r="K34">
        <v>230.24</v>
      </c>
      <c r="L34">
        <v>14.597</v>
      </c>
      <c r="M34">
        <v>52.838999999999999</v>
      </c>
      <c r="N34">
        <v>14.388</v>
      </c>
      <c r="O34">
        <v>1.046</v>
      </c>
      <c r="P34">
        <v>0</v>
      </c>
      <c r="Q34">
        <v>86.024000000000001</v>
      </c>
      <c r="R34">
        <v>62.6</v>
      </c>
      <c r="S34">
        <v>42.9</v>
      </c>
    </row>
    <row r="35" spans="1:19" ht="15" thickBot="1" x14ac:dyDescent="0.35">
      <c r="A35" t="s">
        <v>359</v>
      </c>
      <c r="B35">
        <v>356.77600000000001</v>
      </c>
      <c r="C35">
        <v>77.841999999999999</v>
      </c>
      <c r="D35">
        <v>100</v>
      </c>
      <c r="E35">
        <v>0.49399999999999999</v>
      </c>
      <c r="F35">
        <v>86.926000000000002</v>
      </c>
      <c r="G35">
        <v>50</v>
      </c>
      <c r="H35">
        <v>163.15600000000001</v>
      </c>
      <c r="I35">
        <v>44.28</v>
      </c>
      <c r="J35">
        <v>10.041</v>
      </c>
      <c r="K35">
        <v>229.81299999999999</v>
      </c>
      <c r="L35">
        <v>14.576000000000001</v>
      </c>
      <c r="M35">
        <v>52.703000000000003</v>
      </c>
      <c r="N35">
        <v>14.387</v>
      </c>
      <c r="O35">
        <v>1.0529999999999999</v>
      </c>
      <c r="P35">
        <v>0</v>
      </c>
      <c r="Q35">
        <v>86.034999999999997</v>
      </c>
      <c r="R35">
        <v>62.6</v>
      </c>
      <c r="S35">
        <v>42.9</v>
      </c>
    </row>
    <row r="36" spans="1:19" ht="15" thickBot="1" x14ac:dyDescent="0.35">
      <c r="A36" t="s">
        <v>30</v>
      </c>
      <c r="B36" s="1">
        <f>AVERAGE(B6:B35)</f>
        <v>358.54429999999996</v>
      </c>
      <c r="C36" s="1">
        <f>AVERAGE(C6:C35)</f>
        <v>78.456133333333341</v>
      </c>
      <c r="D36" s="1">
        <f t="shared" ref="D36:S36" si="0">AVERAGE(D6:D35)</f>
        <v>100</v>
      </c>
      <c r="E36" s="10">
        <f t="shared" si="0"/>
        <v>0.49599999999999994</v>
      </c>
      <c r="F36" s="1">
        <f t="shared" si="0"/>
        <v>86.911166666666674</v>
      </c>
      <c r="G36" s="1">
        <f t="shared" si="0"/>
        <v>50</v>
      </c>
      <c r="H36" s="10">
        <f t="shared" si="0"/>
        <v>163.15900000000002</v>
      </c>
      <c r="I36" s="1">
        <f t="shared" si="0"/>
        <v>44.332099999999997</v>
      </c>
      <c r="J36" s="8">
        <f t="shared" si="0"/>
        <v>10.048133333333334</v>
      </c>
      <c r="K36" s="1">
        <f t="shared" si="0"/>
        <v>230.06263333333331</v>
      </c>
      <c r="L36" s="1">
        <f t="shared" si="0"/>
        <v>14.595400000000003</v>
      </c>
      <c r="M36" s="1">
        <f t="shared" si="0"/>
        <v>52.618500000000004</v>
      </c>
      <c r="N36" s="1">
        <f t="shared" si="0"/>
        <v>14.383599999999999</v>
      </c>
      <c r="O36" s="1">
        <f t="shared" si="0"/>
        <v>1.0497333333333334</v>
      </c>
      <c r="P36" s="1">
        <f t="shared" si="0"/>
        <v>0</v>
      </c>
      <c r="Q36" s="1">
        <f t="shared" si="0"/>
        <v>86.275200000000012</v>
      </c>
      <c r="R36" s="1">
        <f t="shared" si="0"/>
        <v>62.546666666666631</v>
      </c>
      <c r="S36" s="1">
        <f t="shared" si="0"/>
        <v>42.900000000000006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14F8-5EFA-45C4-A9DA-8845D72E0C39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5" sqref="K25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0.60635416666666664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2.980406993704956</v>
      </c>
      <c r="M2" s="8">
        <f>100*(R36/(R36+Q36))</f>
        <v>42.614386858289528</v>
      </c>
      <c r="O2" s="9">
        <f>100*((E36*C2)/((E36*C2)+(K2*E2)))</f>
        <v>14.424236618687431</v>
      </c>
      <c r="Q2" s="10">
        <f>100*J36*(1/(((C2/3.6)*E36)+((E2/3.6)*K2)))</f>
        <v>24.307917334374466</v>
      </c>
      <c r="S2" s="6">
        <v>3.54</v>
      </c>
      <c r="U2" s="10">
        <f>100*((((G36*0.001*60)*(C36-D36)*(S2/3.6)))/(((C2/3.6)*E36)+((E2/3.6)*K2)))</f>
        <v>-3.7973489250687504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300</v>
      </c>
      <c r="B6">
        <v>395.79</v>
      </c>
      <c r="C6">
        <v>79.83</v>
      </c>
      <c r="D6">
        <v>26.363</v>
      </c>
      <c r="E6">
        <v>0.60499999999999998</v>
      </c>
      <c r="F6">
        <v>88.085999999999999</v>
      </c>
      <c r="G6">
        <v>50</v>
      </c>
      <c r="H6">
        <v>163.125</v>
      </c>
      <c r="I6">
        <v>45.828000000000003</v>
      </c>
      <c r="J6">
        <v>11.765000000000001</v>
      </c>
      <c r="K6">
        <v>230.35499999999999</v>
      </c>
      <c r="L6">
        <v>17.170000000000002</v>
      </c>
      <c r="M6">
        <v>52.537999999999997</v>
      </c>
      <c r="N6">
        <v>16.911999999999999</v>
      </c>
      <c r="O6">
        <v>1.069</v>
      </c>
      <c r="P6">
        <v>0</v>
      </c>
      <c r="Q6">
        <v>89.614000000000004</v>
      </c>
      <c r="R6">
        <v>66.3</v>
      </c>
      <c r="S6">
        <v>47.9</v>
      </c>
    </row>
    <row r="7" spans="1:21" x14ac:dyDescent="0.3">
      <c r="A7" t="s">
        <v>301</v>
      </c>
      <c r="B7">
        <v>396.34199999999998</v>
      </c>
      <c r="C7">
        <v>79.843000000000004</v>
      </c>
      <c r="D7">
        <v>26.36</v>
      </c>
      <c r="E7">
        <v>0.54300000000000004</v>
      </c>
      <c r="F7">
        <v>88.094999999999999</v>
      </c>
      <c r="G7">
        <v>50</v>
      </c>
      <c r="H7">
        <v>163.184</v>
      </c>
      <c r="I7">
        <v>45.676000000000002</v>
      </c>
      <c r="J7">
        <v>11.77</v>
      </c>
      <c r="K7">
        <v>230.20699999999999</v>
      </c>
      <c r="L7">
        <v>16.98</v>
      </c>
      <c r="M7">
        <v>52.609000000000002</v>
      </c>
      <c r="N7">
        <v>16.916</v>
      </c>
      <c r="O7">
        <v>1.071</v>
      </c>
      <c r="P7">
        <v>0</v>
      </c>
      <c r="Q7">
        <v>89.674000000000007</v>
      </c>
      <c r="R7">
        <v>66.400000000000006</v>
      </c>
      <c r="S7">
        <v>47.9</v>
      </c>
    </row>
    <row r="8" spans="1:21" x14ac:dyDescent="0.3">
      <c r="A8" t="s">
        <v>302</v>
      </c>
      <c r="B8">
        <v>396.10199999999998</v>
      </c>
      <c r="C8">
        <v>79.882000000000005</v>
      </c>
      <c r="D8">
        <v>26.332999999999998</v>
      </c>
      <c r="E8">
        <v>0.54800000000000004</v>
      </c>
      <c r="F8">
        <v>87.986999999999995</v>
      </c>
      <c r="G8">
        <v>50</v>
      </c>
      <c r="H8">
        <v>163.15100000000001</v>
      </c>
      <c r="I8">
        <v>45.676000000000002</v>
      </c>
      <c r="J8">
        <v>11.766999999999999</v>
      </c>
      <c r="K8">
        <v>230.322</v>
      </c>
      <c r="L8">
        <v>17.001000000000001</v>
      </c>
      <c r="M8">
        <v>52.512</v>
      </c>
      <c r="N8">
        <v>16.91</v>
      </c>
      <c r="O8">
        <v>1.0760000000000001</v>
      </c>
      <c r="P8">
        <v>0</v>
      </c>
      <c r="Q8">
        <v>89.725999999999999</v>
      </c>
      <c r="R8">
        <v>66.400000000000006</v>
      </c>
      <c r="S8">
        <v>47.9</v>
      </c>
    </row>
    <row r="9" spans="1:21" x14ac:dyDescent="0.3">
      <c r="A9" t="s">
        <v>303</v>
      </c>
      <c r="B9">
        <v>396.55099999999999</v>
      </c>
      <c r="C9">
        <v>79.852999999999994</v>
      </c>
      <c r="D9">
        <v>26.274000000000001</v>
      </c>
      <c r="E9">
        <v>0.55700000000000005</v>
      </c>
      <c r="F9">
        <v>87.897999999999996</v>
      </c>
      <c r="G9">
        <v>50</v>
      </c>
      <c r="H9">
        <v>163.30099999999999</v>
      </c>
      <c r="I9">
        <v>45.701000000000001</v>
      </c>
      <c r="J9">
        <v>11.766999999999999</v>
      </c>
      <c r="K9">
        <v>230.125</v>
      </c>
      <c r="L9">
        <v>16.986000000000001</v>
      </c>
      <c r="M9">
        <v>52.552</v>
      </c>
      <c r="N9">
        <v>16.913</v>
      </c>
      <c r="O9">
        <v>1.0640000000000001</v>
      </c>
      <c r="P9">
        <v>0</v>
      </c>
      <c r="Q9">
        <v>89.698999999999998</v>
      </c>
      <c r="R9">
        <v>66.400000000000006</v>
      </c>
      <c r="S9">
        <v>47.9</v>
      </c>
    </row>
    <row r="10" spans="1:21" x14ac:dyDescent="0.3">
      <c r="A10" t="s">
        <v>304</v>
      </c>
      <c r="B10">
        <v>396.34399999999999</v>
      </c>
      <c r="C10">
        <v>79.879000000000005</v>
      </c>
      <c r="D10">
        <v>26.35</v>
      </c>
      <c r="E10">
        <v>0.61199999999999999</v>
      </c>
      <c r="F10">
        <v>88.23</v>
      </c>
      <c r="G10">
        <v>50</v>
      </c>
      <c r="H10">
        <v>163.29300000000001</v>
      </c>
      <c r="I10">
        <v>45.709000000000003</v>
      </c>
      <c r="J10">
        <v>11.762</v>
      </c>
      <c r="K10">
        <v>230.17400000000001</v>
      </c>
      <c r="L10">
        <v>16.927</v>
      </c>
      <c r="M10">
        <v>52.508000000000003</v>
      </c>
      <c r="N10">
        <v>16.91</v>
      </c>
      <c r="O10">
        <v>1.0760000000000001</v>
      </c>
      <c r="P10">
        <v>0</v>
      </c>
      <c r="Q10">
        <v>89.635999999999996</v>
      </c>
      <c r="R10">
        <v>66.400000000000006</v>
      </c>
      <c r="S10">
        <v>47.9</v>
      </c>
    </row>
    <row r="11" spans="1:21" x14ac:dyDescent="0.3">
      <c r="A11" t="s">
        <v>305</v>
      </c>
      <c r="B11">
        <v>396.15800000000002</v>
      </c>
      <c r="C11">
        <v>79.852999999999994</v>
      </c>
      <c r="D11">
        <v>26.332999999999998</v>
      </c>
      <c r="E11">
        <v>0.623</v>
      </c>
      <c r="F11">
        <v>87.724000000000004</v>
      </c>
      <c r="G11">
        <v>50</v>
      </c>
      <c r="H11">
        <v>163.13200000000001</v>
      </c>
      <c r="I11">
        <v>45.597999999999999</v>
      </c>
      <c r="J11">
        <v>11.759</v>
      </c>
      <c r="K11">
        <v>229.94399999999999</v>
      </c>
      <c r="L11">
        <v>17.190000000000001</v>
      </c>
      <c r="M11">
        <v>52.548000000000002</v>
      </c>
      <c r="N11">
        <v>16.914000000000001</v>
      </c>
      <c r="O11">
        <v>1.071</v>
      </c>
      <c r="P11">
        <v>0</v>
      </c>
      <c r="Q11">
        <v>89.63</v>
      </c>
      <c r="R11">
        <v>66.400000000000006</v>
      </c>
      <c r="S11">
        <v>47.9</v>
      </c>
    </row>
    <row r="12" spans="1:21" x14ac:dyDescent="0.3">
      <c r="A12" t="s">
        <v>306</v>
      </c>
      <c r="B12">
        <v>396.01499999999999</v>
      </c>
      <c r="C12">
        <v>79.873000000000005</v>
      </c>
      <c r="D12">
        <v>26.294</v>
      </c>
      <c r="E12">
        <v>0.61199999999999999</v>
      </c>
      <c r="F12">
        <v>87.53</v>
      </c>
      <c r="G12">
        <v>50</v>
      </c>
      <c r="H12">
        <v>163.19</v>
      </c>
      <c r="I12">
        <v>45.610999999999997</v>
      </c>
      <c r="J12">
        <v>11.77</v>
      </c>
      <c r="K12">
        <v>230.50299999999999</v>
      </c>
      <c r="L12">
        <v>17.189</v>
      </c>
      <c r="M12">
        <v>52.521999999999998</v>
      </c>
      <c r="N12">
        <v>16.905000000000001</v>
      </c>
      <c r="O12">
        <v>1.077</v>
      </c>
      <c r="P12">
        <v>0</v>
      </c>
      <c r="Q12">
        <v>89.528000000000006</v>
      </c>
      <c r="R12">
        <v>66.400000000000006</v>
      </c>
      <c r="S12">
        <v>47.9</v>
      </c>
    </row>
    <row r="13" spans="1:21" x14ac:dyDescent="0.3">
      <c r="A13" t="s">
        <v>307</v>
      </c>
      <c r="B13">
        <v>395.16500000000002</v>
      </c>
      <c r="C13">
        <v>79.902000000000001</v>
      </c>
      <c r="D13">
        <v>26.294</v>
      </c>
      <c r="E13">
        <v>0.60699999999999998</v>
      </c>
      <c r="F13">
        <v>88.94</v>
      </c>
      <c r="G13">
        <v>50</v>
      </c>
      <c r="H13">
        <v>163.23699999999999</v>
      </c>
      <c r="I13">
        <v>45.557000000000002</v>
      </c>
      <c r="J13">
        <v>11.760999999999999</v>
      </c>
      <c r="K13">
        <v>230.07599999999999</v>
      </c>
      <c r="L13">
        <v>17.036999999999999</v>
      </c>
      <c r="M13">
        <v>52.527999999999999</v>
      </c>
      <c r="N13">
        <v>16.91</v>
      </c>
      <c r="O13">
        <v>1.0429999999999999</v>
      </c>
      <c r="P13">
        <v>0</v>
      </c>
      <c r="Q13">
        <v>89.641999999999996</v>
      </c>
      <c r="R13">
        <v>66.400000000000006</v>
      </c>
      <c r="S13">
        <v>47.9</v>
      </c>
    </row>
    <row r="14" spans="1:21" x14ac:dyDescent="0.3">
      <c r="A14" t="s">
        <v>308</v>
      </c>
      <c r="B14">
        <v>395.41300000000001</v>
      </c>
      <c r="C14">
        <v>79.835999999999999</v>
      </c>
      <c r="D14">
        <v>100</v>
      </c>
      <c r="E14">
        <v>0.59399999999999997</v>
      </c>
      <c r="F14">
        <v>88.138000000000005</v>
      </c>
      <c r="G14">
        <v>50</v>
      </c>
      <c r="H14">
        <v>163.203</v>
      </c>
      <c r="I14">
        <v>45.545000000000002</v>
      </c>
      <c r="J14">
        <v>11.778</v>
      </c>
      <c r="K14">
        <v>230.45400000000001</v>
      </c>
      <c r="L14">
        <v>17.077000000000002</v>
      </c>
      <c r="M14">
        <v>52.579000000000001</v>
      </c>
      <c r="N14">
        <v>16.896000000000001</v>
      </c>
      <c r="O14">
        <v>1.0620000000000001</v>
      </c>
      <c r="P14">
        <v>0</v>
      </c>
      <c r="Q14">
        <v>89.546999999999997</v>
      </c>
      <c r="R14">
        <v>66.400000000000006</v>
      </c>
      <c r="S14">
        <v>47.9</v>
      </c>
    </row>
    <row r="15" spans="1:21" x14ac:dyDescent="0.3">
      <c r="A15" t="s">
        <v>309</v>
      </c>
      <c r="B15">
        <v>395.81700000000001</v>
      </c>
      <c r="C15">
        <v>79.748000000000005</v>
      </c>
      <c r="D15">
        <v>100</v>
      </c>
      <c r="E15">
        <v>0.56000000000000005</v>
      </c>
      <c r="F15">
        <v>88.519000000000005</v>
      </c>
      <c r="G15">
        <v>50</v>
      </c>
      <c r="H15">
        <v>163.21100000000001</v>
      </c>
      <c r="I15">
        <v>45.527999999999999</v>
      </c>
      <c r="J15">
        <v>11.763</v>
      </c>
      <c r="K15">
        <v>230.125</v>
      </c>
      <c r="L15">
        <v>17.052</v>
      </c>
      <c r="M15">
        <v>52.564</v>
      </c>
      <c r="N15">
        <v>16.899000000000001</v>
      </c>
      <c r="O15">
        <v>1.0680000000000001</v>
      </c>
      <c r="P15">
        <v>0</v>
      </c>
      <c r="Q15">
        <v>89.509</v>
      </c>
      <c r="R15">
        <v>66.400000000000006</v>
      </c>
      <c r="S15">
        <v>47.9</v>
      </c>
    </row>
    <row r="16" spans="1:21" x14ac:dyDescent="0.3">
      <c r="A16" t="s">
        <v>310</v>
      </c>
      <c r="B16">
        <v>396.02800000000002</v>
      </c>
      <c r="C16">
        <v>79.730999999999995</v>
      </c>
      <c r="D16">
        <v>100</v>
      </c>
      <c r="E16">
        <v>0.54900000000000004</v>
      </c>
      <c r="F16">
        <v>88.069000000000003</v>
      </c>
      <c r="G16">
        <v>50</v>
      </c>
      <c r="H16">
        <v>163.161</v>
      </c>
      <c r="I16">
        <v>45.508000000000003</v>
      </c>
      <c r="J16">
        <v>11.769</v>
      </c>
      <c r="K16">
        <v>230.30600000000001</v>
      </c>
      <c r="L16">
        <v>17.062999999999999</v>
      </c>
      <c r="M16">
        <v>52.604999999999997</v>
      </c>
      <c r="N16">
        <v>16.911999999999999</v>
      </c>
      <c r="O16">
        <v>1.08</v>
      </c>
      <c r="P16">
        <v>0</v>
      </c>
      <c r="Q16">
        <v>89.483000000000004</v>
      </c>
      <c r="R16">
        <v>66.400000000000006</v>
      </c>
      <c r="S16">
        <v>47.9</v>
      </c>
    </row>
    <row r="17" spans="1:19" x14ac:dyDescent="0.3">
      <c r="A17" t="s">
        <v>311</v>
      </c>
      <c r="B17">
        <v>395.541</v>
      </c>
      <c r="C17">
        <v>79.751000000000005</v>
      </c>
      <c r="D17">
        <v>100</v>
      </c>
      <c r="E17">
        <v>0.60499999999999998</v>
      </c>
      <c r="F17">
        <v>88.403999999999996</v>
      </c>
      <c r="G17">
        <v>50</v>
      </c>
      <c r="H17">
        <v>163.19499999999999</v>
      </c>
      <c r="I17">
        <v>45.536999999999999</v>
      </c>
      <c r="J17">
        <v>11.76</v>
      </c>
      <c r="K17">
        <v>230.02699999999999</v>
      </c>
      <c r="L17">
        <v>17.047000000000001</v>
      </c>
      <c r="M17">
        <v>52.512</v>
      </c>
      <c r="N17">
        <v>16.901</v>
      </c>
      <c r="O17">
        <v>1.0680000000000001</v>
      </c>
      <c r="P17">
        <v>0</v>
      </c>
      <c r="Q17">
        <v>89.471999999999994</v>
      </c>
      <c r="R17">
        <v>66.400000000000006</v>
      </c>
      <c r="S17">
        <v>47.9</v>
      </c>
    </row>
    <row r="18" spans="1:19" x14ac:dyDescent="0.3">
      <c r="A18" t="s">
        <v>312</v>
      </c>
      <c r="B18">
        <v>395.13299999999998</v>
      </c>
      <c r="C18">
        <v>79.771000000000001</v>
      </c>
      <c r="D18">
        <v>100</v>
      </c>
      <c r="E18">
        <v>0.626</v>
      </c>
      <c r="F18">
        <v>88.843999999999994</v>
      </c>
      <c r="G18">
        <v>50</v>
      </c>
      <c r="H18">
        <v>163.161</v>
      </c>
      <c r="I18">
        <v>45.52</v>
      </c>
      <c r="J18">
        <v>11.77</v>
      </c>
      <c r="K18">
        <v>230.35499999999999</v>
      </c>
      <c r="L18">
        <v>17.062999999999999</v>
      </c>
      <c r="M18">
        <v>52.497</v>
      </c>
      <c r="N18">
        <v>16.91</v>
      </c>
      <c r="O18">
        <v>1.0649999999999999</v>
      </c>
      <c r="P18">
        <v>0</v>
      </c>
      <c r="Q18">
        <v>89.460999999999999</v>
      </c>
      <c r="R18">
        <v>66.400000000000006</v>
      </c>
      <c r="S18">
        <v>47.9</v>
      </c>
    </row>
    <row r="19" spans="1:19" x14ac:dyDescent="0.3">
      <c r="A19" t="s">
        <v>313</v>
      </c>
      <c r="B19">
        <v>394.43099999999998</v>
      </c>
      <c r="C19">
        <v>79.757999999999996</v>
      </c>
      <c r="D19">
        <v>100</v>
      </c>
      <c r="E19">
        <v>0.61199999999999999</v>
      </c>
      <c r="F19">
        <v>87.974000000000004</v>
      </c>
      <c r="G19">
        <v>50</v>
      </c>
      <c r="H19">
        <v>163.16499999999999</v>
      </c>
      <c r="I19">
        <v>45.790999999999997</v>
      </c>
      <c r="J19">
        <v>11.757999999999999</v>
      </c>
      <c r="K19">
        <v>229.977</v>
      </c>
      <c r="L19">
        <v>17.042999999999999</v>
      </c>
      <c r="M19">
        <v>52.39</v>
      </c>
      <c r="N19">
        <v>16.914000000000001</v>
      </c>
      <c r="O19">
        <v>1.056</v>
      </c>
      <c r="P19">
        <v>0</v>
      </c>
      <c r="Q19">
        <v>89.385000000000005</v>
      </c>
      <c r="R19">
        <v>66.400000000000006</v>
      </c>
      <c r="S19">
        <v>47.9</v>
      </c>
    </row>
    <row r="20" spans="1:19" x14ac:dyDescent="0.3">
      <c r="A20" t="s">
        <v>314</v>
      </c>
      <c r="B20">
        <v>394.899</v>
      </c>
      <c r="C20">
        <v>79.748000000000005</v>
      </c>
      <c r="D20">
        <v>100</v>
      </c>
      <c r="E20">
        <v>0.63200000000000001</v>
      </c>
      <c r="F20">
        <v>88.725999999999999</v>
      </c>
      <c r="G20">
        <v>50</v>
      </c>
      <c r="H20">
        <v>163.15600000000001</v>
      </c>
      <c r="I20">
        <v>45.582000000000001</v>
      </c>
      <c r="J20">
        <v>11.766999999999999</v>
      </c>
      <c r="K20">
        <v>230.30600000000001</v>
      </c>
      <c r="L20">
        <v>17.061</v>
      </c>
      <c r="M20">
        <v>52.521999999999998</v>
      </c>
      <c r="N20">
        <v>16.905999999999999</v>
      </c>
      <c r="O20">
        <v>1.0609999999999999</v>
      </c>
      <c r="P20">
        <v>0</v>
      </c>
      <c r="Q20">
        <v>89.424000000000007</v>
      </c>
      <c r="R20">
        <v>66.400000000000006</v>
      </c>
      <c r="S20">
        <v>47.9</v>
      </c>
    </row>
    <row r="21" spans="1:19" x14ac:dyDescent="0.3">
      <c r="A21" t="s">
        <v>315</v>
      </c>
      <c r="B21">
        <v>394.03300000000002</v>
      </c>
      <c r="C21">
        <v>79.734999999999999</v>
      </c>
      <c r="D21">
        <v>100</v>
      </c>
      <c r="E21">
        <v>0.59699999999999998</v>
      </c>
      <c r="F21">
        <v>88.138000000000005</v>
      </c>
      <c r="G21">
        <v>50</v>
      </c>
      <c r="H21">
        <v>163.21299999999999</v>
      </c>
      <c r="I21">
        <v>45.573999999999998</v>
      </c>
      <c r="J21">
        <v>11.760999999999999</v>
      </c>
      <c r="K21">
        <v>230.125</v>
      </c>
      <c r="L21">
        <v>17.041</v>
      </c>
      <c r="M21">
        <v>52.506</v>
      </c>
      <c r="N21">
        <v>16.908999999999999</v>
      </c>
      <c r="O21">
        <v>1.069</v>
      </c>
      <c r="P21">
        <v>0</v>
      </c>
      <c r="Q21">
        <v>89.388000000000005</v>
      </c>
      <c r="R21">
        <v>66.400000000000006</v>
      </c>
      <c r="S21">
        <v>47.9</v>
      </c>
    </row>
    <row r="22" spans="1:19" x14ac:dyDescent="0.3">
      <c r="A22" t="s">
        <v>316</v>
      </c>
      <c r="B22">
        <v>394.214</v>
      </c>
      <c r="C22">
        <v>79.649000000000001</v>
      </c>
      <c r="D22">
        <v>100</v>
      </c>
      <c r="E22">
        <v>0.61799999999999999</v>
      </c>
      <c r="F22">
        <v>87.974000000000004</v>
      </c>
      <c r="G22">
        <v>50</v>
      </c>
      <c r="H22">
        <v>163.28700000000001</v>
      </c>
      <c r="I22">
        <v>45.578000000000003</v>
      </c>
      <c r="J22">
        <v>11.773</v>
      </c>
      <c r="K22">
        <v>230.25700000000001</v>
      </c>
      <c r="L22">
        <v>17.059999999999999</v>
      </c>
      <c r="M22">
        <v>52.569000000000003</v>
      </c>
      <c r="N22">
        <v>16.911999999999999</v>
      </c>
      <c r="O22">
        <v>1.0760000000000001</v>
      </c>
      <c r="P22">
        <v>0</v>
      </c>
      <c r="Q22">
        <v>89.41</v>
      </c>
      <c r="R22">
        <v>66.400000000000006</v>
      </c>
      <c r="S22">
        <v>47.9</v>
      </c>
    </row>
    <row r="23" spans="1:19" x14ac:dyDescent="0.3">
      <c r="A23" t="s">
        <v>317</v>
      </c>
      <c r="B23">
        <v>393.90499999999997</v>
      </c>
      <c r="C23">
        <v>79.623000000000005</v>
      </c>
      <c r="D23">
        <v>100</v>
      </c>
      <c r="E23">
        <v>0.57799999999999996</v>
      </c>
      <c r="F23">
        <v>88.158000000000001</v>
      </c>
      <c r="G23">
        <v>50</v>
      </c>
      <c r="H23">
        <v>163.18899999999999</v>
      </c>
      <c r="I23">
        <v>45.597999999999999</v>
      </c>
      <c r="J23">
        <v>11.763999999999999</v>
      </c>
      <c r="K23">
        <v>230.10900000000001</v>
      </c>
      <c r="L23">
        <v>17.047999999999998</v>
      </c>
      <c r="M23">
        <v>52.552</v>
      </c>
      <c r="N23">
        <v>16.908999999999999</v>
      </c>
      <c r="O23">
        <v>1.07</v>
      </c>
      <c r="P23">
        <v>0</v>
      </c>
      <c r="Q23">
        <v>89.486000000000004</v>
      </c>
      <c r="R23">
        <v>66.400000000000006</v>
      </c>
      <c r="S23">
        <v>47.9</v>
      </c>
    </row>
    <row r="24" spans="1:19" x14ac:dyDescent="0.3">
      <c r="A24" t="s">
        <v>318</v>
      </c>
      <c r="B24">
        <v>394.911</v>
      </c>
      <c r="C24">
        <v>79.643000000000001</v>
      </c>
      <c r="D24">
        <v>100</v>
      </c>
      <c r="E24">
        <v>0.54900000000000004</v>
      </c>
      <c r="F24">
        <v>87.724000000000004</v>
      </c>
      <c r="G24">
        <v>50</v>
      </c>
      <c r="H24">
        <v>163.18799999999999</v>
      </c>
      <c r="I24">
        <v>45.569000000000003</v>
      </c>
      <c r="J24">
        <v>11.769</v>
      </c>
      <c r="K24">
        <v>230.20699999999999</v>
      </c>
      <c r="L24">
        <v>17.064</v>
      </c>
      <c r="M24">
        <v>52.482999999999997</v>
      </c>
      <c r="N24">
        <v>16.911999999999999</v>
      </c>
      <c r="O24">
        <v>1.0840000000000001</v>
      </c>
      <c r="P24">
        <v>0</v>
      </c>
      <c r="Q24">
        <v>89.379000000000005</v>
      </c>
      <c r="R24">
        <v>66.400000000000006</v>
      </c>
      <c r="S24">
        <v>47.9</v>
      </c>
    </row>
    <row r="25" spans="1:19" x14ac:dyDescent="0.3">
      <c r="A25" t="s">
        <v>319</v>
      </c>
      <c r="B25">
        <v>395.12299999999999</v>
      </c>
      <c r="C25">
        <v>79.62</v>
      </c>
      <c r="D25">
        <v>100</v>
      </c>
      <c r="E25">
        <v>0.56599999999999995</v>
      </c>
      <c r="F25">
        <v>88.24</v>
      </c>
      <c r="G25">
        <v>50</v>
      </c>
      <c r="H25">
        <v>163.268</v>
      </c>
      <c r="I25">
        <v>45.709000000000003</v>
      </c>
      <c r="J25">
        <v>11.763</v>
      </c>
      <c r="K25">
        <v>230.20699999999999</v>
      </c>
      <c r="L25">
        <v>17.045999999999999</v>
      </c>
      <c r="M25">
        <v>52.533999999999999</v>
      </c>
      <c r="N25">
        <v>16.911999999999999</v>
      </c>
      <c r="O25">
        <v>1.0680000000000001</v>
      </c>
      <c r="P25">
        <v>0</v>
      </c>
      <c r="Q25">
        <v>89.284000000000006</v>
      </c>
      <c r="R25">
        <v>66.400000000000006</v>
      </c>
      <c r="S25">
        <v>47.9</v>
      </c>
    </row>
    <row r="26" spans="1:19" x14ac:dyDescent="0.3">
      <c r="A26" t="s">
        <v>320</v>
      </c>
      <c r="B26">
        <v>395.04300000000001</v>
      </c>
      <c r="C26">
        <v>79.649000000000001</v>
      </c>
      <c r="D26">
        <v>100</v>
      </c>
      <c r="E26">
        <v>0.59499999999999997</v>
      </c>
      <c r="F26">
        <v>87.974000000000004</v>
      </c>
      <c r="G26">
        <v>50</v>
      </c>
      <c r="H26">
        <v>163.25299999999999</v>
      </c>
      <c r="I26">
        <v>45.734000000000002</v>
      </c>
      <c r="J26">
        <v>11.768000000000001</v>
      </c>
      <c r="K26">
        <v>230.20699999999999</v>
      </c>
      <c r="L26">
        <v>17.062000000000001</v>
      </c>
      <c r="M26">
        <v>52.493000000000002</v>
      </c>
      <c r="N26">
        <v>16.902999999999999</v>
      </c>
      <c r="O26">
        <v>1.0669999999999999</v>
      </c>
      <c r="P26">
        <v>0</v>
      </c>
      <c r="Q26">
        <v>89.241</v>
      </c>
      <c r="R26">
        <v>66.5</v>
      </c>
      <c r="S26">
        <v>47.9</v>
      </c>
    </row>
    <row r="27" spans="1:19" x14ac:dyDescent="0.3">
      <c r="A27" t="s">
        <v>321</v>
      </c>
      <c r="B27">
        <v>394.024</v>
      </c>
      <c r="C27">
        <v>79.623000000000005</v>
      </c>
      <c r="D27">
        <v>100</v>
      </c>
      <c r="E27">
        <v>0.60599999999999998</v>
      </c>
      <c r="F27">
        <v>87.575999999999993</v>
      </c>
      <c r="G27">
        <v>50</v>
      </c>
      <c r="H27">
        <v>163.155</v>
      </c>
      <c r="I27">
        <v>45.767000000000003</v>
      </c>
      <c r="J27">
        <v>11.760999999999999</v>
      </c>
      <c r="K27">
        <v>230.24</v>
      </c>
      <c r="L27">
        <v>17.056999999999999</v>
      </c>
      <c r="M27">
        <v>52.53</v>
      </c>
      <c r="N27">
        <v>16.91</v>
      </c>
      <c r="O27">
        <v>1.0640000000000001</v>
      </c>
      <c r="P27">
        <v>0</v>
      </c>
      <c r="Q27">
        <v>89.245000000000005</v>
      </c>
      <c r="R27">
        <v>66.5</v>
      </c>
      <c r="S27">
        <v>47.9</v>
      </c>
    </row>
    <row r="28" spans="1:19" x14ac:dyDescent="0.3">
      <c r="A28" t="s">
        <v>322</v>
      </c>
      <c r="B28">
        <v>394.04199999999997</v>
      </c>
      <c r="C28">
        <v>79.623000000000005</v>
      </c>
      <c r="D28">
        <v>100</v>
      </c>
      <c r="E28">
        <v>0.623</v>
      </c>
      <c r="F28">
        <v>89.326999999999998</v>
      </c>
      <c r="G28">
        <v>50</v>
      </c>
      <c r="H28">
        <v>163.096</v>
      </c>
      <c r="I28">
        <v>45.713000000000001</v>
      </c>
      <c r="J28">
        <v>11.766999999999999</v>
      </c>
      <c r="K28">
        <v>230.15799999999999</v>
      </c>
      <c r="L28">
        <v>17.058</v>
      </c>
      <c r="M28">
        <v>52.408000000000001</v>
      </c>
      <c r="N28">
        <v>16.911999999999999</v>
      </c>
      <c r="O28">
        <v>1.0760000000000001</v>
      </c>
      <c r="P28">
        <v>0</v>
      </c>
      <c r="Q28">
        <v>89.155000000000001</v>
      </c>
      <c r="R28">
        <v>66.400000000000006</v>
      </c>
      <c r="S28">
        <v>47.9</v>
      </c>
    </row>
    <row r="29" spans="1:19" x14ac:dyDescent="0.3">
      <c r="A29" t="s">
        <v>323</v>
      </c>
      <c r="B29">
        <v>394.04899999999998</v>
      </c>
      <c r="C29">
        <v>79.652000000000001</v>
      </c>
      <c r="D29">
        <v>100</v>
      </c>
      <c r="E29">
        <v>0.60199999999999998</v>
      </c>
      <c r="F29">
        <v>88.495999999999995</v>
      </c>
      <c r="G29">
        <v>50</v>
      </c>
      <c r="H29">
        <v>163.11600000000001</v>
      </c>
      <c r="I29">
        <v>45.804000000000002</v>
      </c>
      <c r="J29">
        <v>11.757999999999999</v>
      </c>
      <c r="K29">
        <v>230.04300000000001</v>
      </c>
      <c r="L29">
        <v>17.041</v>
      </c>
      <c r="M29">
        <v>52.53</v>
      </c>
      <c r="N29">
        <v>16.905000000000001</v>
      </c>
      <c r="O29">
        <v>1.0680000000000001</v>
      </c>
      <c r="P29">
        <v>0</v>
      </c>
      <c r="Q29">
        <v>89.295000000000002</v>
      </c>
      <c r="R29">
        <v>66.400000000000006</v>
      </c>
      <c r="S29">
        <v>47.9</v>
      </c>
    </row>
    <row r="30" spans="1:19" x14ac:dyDescent="0.3">
      <c r="A30" t="s">
        <v>324</v>
      </c>
      <c r="B30">
        <v>394.58600000000001</v>
      </c>
      <c r="C30">
        <v>79.659000000000006</v>
      </c>
      <c r="D30">
        <v>100</v>
      </c>
      <c r="E30">
        <v>0.61899999999999999</v>
      </c>
      <c r="F30">
        <v>88.703000000000003</v>
      </c>
      <c r="G30">
        <v>50</v>
      </c>
      <c r="H30">
        <v>163.10400000000001</v>
      </c>
      <c r="I30">
        <v>45.716999999999999</v>
      </c>
      <c r="J30">
        <v>11.765000000000001</v>
      </c>
      <c r="K30">
        <v>230.04300000000001</v>
      </c>
      <c r="L30">
        <v>17.050999999999998</v>
      </c>
      <c r="M30">
        <v>52.52</v>
      </c>
      <c r="N30">
        <v>16.91</v>
      </c>
      <c r="O30">
        <v>1.069</v>
      </c>
      <c r="P30">
        <v>0</v>
      </c>
      <c r="Q30">
        <v>89.337000000000003</v>
      </c>
      <c r="R30">
        <v>66.400000000000006</v>
      </c>
      <c r="S30">
        <v>47.9</v>
      </c>
    </row>
    <row r="31" spans="1:19" x14ac:dyDescent="0.3">
      <c r="A31" t="s">
        <v>325</v>
      </c>
      <c r="B31">
        <v>393.69900000000001</v>
      </c>
      <c r="C31">
        <v>79.626000000000005</v>
      </c>
      <c r="D31">
        <v>100</v>
      </c>
      <c r="E31">
        <v>0.58299999999999996</v>
      </c>
      <c r="F31">
        <v>88.256</v>
      </c>
      <c r="G31">
        <v>50</v>
      </c>
      <c r="H31">
        <v>163.26400000000001</v>
      </c>
      <c r="I31">
        <v>45.808</v>
      </c>
      <c r="J31">
        <v>11.76</v>
      </c>
      <c r="K31">
        <v>230.24</v>
      </c>
      <c r="L31">
        <v>17.061</v>
      </c>
      <c r="M31">
        <v>52.427999999999997</v>
      </c>
      <c r="N31">
        <v>16.904</v>
      </c>
      <c r="O31">
        <v>1.0660000000000001</v>
      </c>
      <c r="P31">
        <v>0</v>
      </c>
      <c r="Q31">
        <v>89.286000000000001</v>
      </c>
      <c r="R31">
        <v>66.400000000000006</v>
      </c>
      <c r="S31">
        <v>47.9</v>
      </c>
    </row>
    <row r="32" spans="1:19" x14ac:dyDescent="0.3">
      <c r="A32" t="s">
        <v>326</v>
      </c>
      <c r="B32">
        <v>394.08</v>
      </c>
      <c r="C32">
        <v>79.652000000000001</v>
      </c>
      <c r="D32">
        <v>100</v>
      </c>
      <c r="E32">
        <v>0.59599999999999997</v>
      </c>
      <c r="F32">
        <v>87.527000000000001</v>
      </c>
      <c r="G32">
        <v>50</v>
      </c>
      <c r="H32">
        <v>163.208</v>
      </c>
      <c r="I32">
        <v>45.835999999999999</v>
      </c>
      <c r="J32">
        <v>11.762</v>
      </c>
      <c r="K32">
        <v>230.02699999999999</v>
      </c>
      <c r="L32">
        <v>17.045999999999999</v>
      </c>
      <c r="M32">
        <v>52.569000000000003</v>
      </c>
      <c r="N32">
        <v>16.895</v>
      </c>
      <c r="O32">
        <v>1.0669999999999999</v>
      </c>
      <c r="P32">
        <v>0</v>
      </c>
      <c r="Q32">
        <v>89.186999999999998</v>
      </c>
      <c r="R32">
        <v>66.400000000000006</v>
      </c>
      <c r="S32">
        <v>47.9</v>
      </c>
    </row>
    <row r="33" spans="1:19" x14ac:dyDescent="0.3">
      <c r="A33" t="s">
        <v>327</v>
      </c>
      <c r="B33">
        <v>394.02600000000001</v>
      </c>
      <c r="C33">
        <v>79.62</v>
      </c>
      <c r="D33">
        <v>100</v>
      </c>
      <c r="E33">
        <v>0.54900000000000004</v>
      </c>
      <c r="F33">
        <v>87.56</v>
      </c>
      <c r="G33">
        <v>50</v>
      </c>
      <c r="H33">
        <v>163.149</v>
      </c>
      <c r="I33">
        <v>45.798999999999999</v>
      </c>
      <c r="J33">
        <v>11.765000000000001</v>
      </c>
      <c r="K33">
        <v>230.339</v>
      </c>
      <c r="L33">
        <v>17.061</v>
      </c>
      <c r="M33">
        <v>52.585000000000001</v>
      </c>
      <c r="N33">
        <v>16.905000000000001</v>
      </c>
      <c r="O33">
        <v>1.079</v>
      </c>
      <c r="P33">
        <v>0</v>
      </c>
      <c r="Q33">
        <v>89.266000000000005</v>
      </c>
      <c r="R33">
        <v>66.400000000000006</v>
      </c>
      <c r="S33">
        <v>47.9</v>
      </c>
    </row>
    <row r="34" spans="1:19" x14ac:dyDescent="0.3">
      <c r="A34" t="s">
        <v>328</v>
      </c>
      <c r="B34">
        <v>393.67399999999998</v>
      </c>
      <c r="C34">
        <v>79.652000000000001</v>
      </c>
      <c r="D34">
        <v>100</v>
      </c>
      <c r="E34">
        <v>0.54600000000000004</v>
      </c>
      <c r="F34">
        <v>87.649000000000001</v>
      </c>
      <c r="G34">
        <v>50</v>
      </c>
      <c r="H34">
        <v>163.208</v>
      </c>
      <c r="I34">
        <v>45.84</v>
      </c>
      <c r="J34">
        <v>11.766</v>
      </c>
      <c r="K34">
        <v>230.04300000000001</v>
      </c>
      <c r="L34">
        <v>17.052</v>
      </c>
      <c r="M34">
        <v>52.518000000000001</v>
      </c>
      <c r="N34">
        <v>16.907</v>
      </c>
      <c r="O34">
        <v>1.0609999999999999</v>
      </c>
      <c r="P34">
        <v>0</v>
      </c>
      <c r="Q34">
        <v>89.126999999999995</v>
      </c>
      <c r="R34">
        <v>66.400000000000006</v>
      </c>
      <c r="S34">
        <v>47.9</v>
      </c>
    </row>
    <row r="35" spans="1:19" ht="15" thickBot="1" x14ac:dyDescent="0.35">
      <c r="A35" t="s">
        <v>329</v>
      </c>
      <c r="B35">
        <v>392.84699999999998</v>
      </c>
      <c r="C35">
        <v>79.626000000000005</v>
      </c>
      <c r="D35">
        <v>100</v>
      </c>
      <c r="E35">
        <v>0.54600000000000004</v>
      </c>
      <c r="F35">
        <v>88.043000000000006</v>
      </c>
      <c r="G35">
        <v>50</v>
      </c>
      <c r="H35">
        <v>163.166</v>
      </c>
      <c r="I35">
        <v>45.82</v>
      </c>
      <c r="J35">
        <v>11.769</v>
      </c>
      <c r="K35">
        <v>230.43700000000001</v>
      </c>
      <c r="L35">
        <v>17.067</v>
      </c>
      <c r="M35">
        <v>52.512</v>
      </c>
      <c r="N35">
        <v>16.917000000000002</v>
      </c>
      <c r="O35">
        <v>1.0649999999999999</v>
      </c>
      <c r="P35">
        <v>0</v>
      </c>
      <c r="Q35">
        <v>89.230999999999995</v>
      </c>
      <c r="R35">
        <v>66.5</v>
      </c>
      <c r="S35">
        <v>47.9</v>
      </c>
    </row>
    <row r="36" spans="1:19" ht="15" thickBot="1" x14ac:dyDescent="0.35">
      <c r="A36" t="s">
        <v>30</v>
      </c>
      <c r="B36" s="1">
        <f>AVERAGE(B6:B35)</f>
        <v>394.93283333333318</v>
      </c>
      <c r="C36" s="1">
        <f>AVERAGE(C6:C35)</f>
        <v>79.730333333333363</v>
      </c>
      <c r="D36" s="1">
        <f t="shared" ref="D36:S36" si="0">AVERAGE(D6:D35)</f>
        <v>80.353366666666673</v>
      </c>
      <c r="E36" s="10">
        <f t="shared" si="0"/>
        <v>0.5885999999999999</v>
      </c>
      <c r="F36" s="1">
        <f t="shared" si="0"/>
        <v>88.150299999999973</v>
      </c>
      <c r="G36" s="1">
        <f t="shared" si="0"/>
        <v>50</v>
      </c>
      <c r="H36" s="10">
        <f t="shared" si="0"/>
        <v>163.19096666666664</v>
      </c>
      <c r="I36" s="1">
        <f t="shared" si="0"/>
        <v>45.67443333333334</v>
      </c>
      <c r="J36" s="8">
        <f t="shared" si="0"/>
        <v>11.765233333333333</v>
      </c>
      <c r="K36" s="1">
        <f t="shared" si="0"/>
        <v>230.19793333333334</v>
      </c>
      <c r="L36" s="1">
        <f t="shared" si="0"/>
        <v>17.056699999999999</v>
      </c>
      <c r="M36" s="1">
        <f t="shared" si="0"/>
        <v>52.52409999999999</v>
      </c>
      <c r="N36" s="1">
        <f t="shared" si="0"/>
        <v>16.908333333333328</v>
      </c>
      <c r="O36" s="1">
        <f t="shared" si="0"/>
        <v>1.0685333333333333</v>
      </c>
      <c r="P36" s="1">
        <f t="shared" si="0"/>
        <v>0</v>
      </c>
      <c r="Q36" s="1">
        <f t="shared" si="0"/>
        <v>89.424900000000008</v>
      </c>
      <c r="R36" s="1">
        <f t="shared" si="0"/>
        <v>66.406666666666695</v>
      </c>
      <c r="S36" s="1">
        <f t="shared" si="0"/>
        <v>47.900000000000013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7CF7-EB83-40E8-81AC-8529D4484B4A}">
  <dimension ref="A1:U3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0.60542824074074075</v>
      </c>
      <c r="C2" s="6">
        <v>42.7</v>
      </c>
      <c r="E2" s="6">
        <v>50.03</v>
      </c>
      <c r="G2" s="6">
        <v>1.6E-2</v>
      </c>
      <c r="I2" s="7">
        <v>2.24E-2</v>
      </c>
      <c r="K2" s="8">
        <f>(H36*0.001*60)*(M2/100)*(G2/I2)</f>
        <v>3.1096815825716693</v>
      </c>
      <c r="M2" s="8">
        <f>100*(R36/(R36+Q36))</f>
        <v>44.458191904230226</v>
      </c>
      <c r="O2" s="9">
        <f>100*((E36*C2)/((E36*C2)+(K2*E2)))</f>
        <v>15.330458466809855</v>
      </c>
      <c r="Q2" s="10">
        <f>100*J36*(1/(((C2/3.6)*E36)+((E2/3.6)*K2)))</f>
        <v>26.960700714232161</v>
      </c>
      <c r="S2" s="6">
        <v>3.54</v>
      </c>
      <c r="U2" s="10">
        <f>100*((((G36*0.001*60)*(C36-D36)*(S2/3.6)))/(((C2/3.6)*E36)+((E2/3.6)*K2)))</f>
        <v>212.54423097828803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270</v>
      </c>
      <c r="B6">
        <v>432.17899999999997</v>
      </c>
      <c r="C6">
        <v>80.322999999999993</v>
      </c>
      <c r="D6">
        <v>100</v>
      </c>
      <c r="E6">
        <v>0.61</v>
      </c>
      <c r="F6">
        <v>88.46</v>
      </c>
      <c r="G6">
        <v>50</v>
      </c>
      <c r="H6">
        <v>163.18100000000001</v>
      </c>
      <c r="I6">
        <v>46.357999999999997</v>
      </c>
      <c r="J6">
        <v>13.760999999999999</v>
      </c>
      <c r="K6">
        <v>230.17400000000001</v>
      </c>
      <c r="L6">
        <v>20.068999999999999</v>
      </c>
      <c r="M6">
        <v>52.600999999999999</v>
      </c>
      <c r="N6">
        <v>19.795000000000002</v>
      </c>
      <c r="O6">
        <v>1.083</v>
      </c>
      <c r="P6">
        <v>0</v>
      </c>
      <c r="Q6">
        <v>92.694999999999993</v>
      </c>
      <c r="R6">
        <v>74</v>
      </c>
      <c r="S6">
        <v>71</v>
      </c>
    </row>
    <row r="7" spans="1:21" x14ac:dyDescent="0.3">
      <c r="A7" t="s">
        <v>271</v>
      </c>
      <c r="B7">
        <v>432.83199999999999</v>
      </c>
      <c r="C7">
        <v>80.305999999999997</v>
      </c>
      <c r="D7">
        <v>100</v>
      </c>
      <c r="E7">
        <v>0.64100000000000001</v>
      </c>
      <c r="F7">
        <v>88.01</v>
      </c>
      <c r="G7">
        <v>50</v>
      </c>
      <c r="H7">
        <v>163.13499999999999</v>
      </c>
      <c r="I7">
        <v>46.423999999999999</v>
      </c>
      <c r="J7">
        <v>13.762</v>
      </c>
      <c r="K7">
        <v>230.09200000000001</v>
      </c>
      <c r="L7">
        <v>19.853000000000002</v>
      </c>
      <c r="M7">
        <v>52.354999999999997</v>
      </c>
      <c r="N7">
        <v>19.783000000000001</v>
      </c>
      <c r="O7">
        <v>1.091</v>
      </c>
      <c r="P7">
        <v>0</v>
      </c>
      <c r="Q7">
        <v>92.644999999999996</v>
      </c>
      <c r="R7">
        <v>74</v>
      </c>
      <c r="S7">
        <v>71</v>
      </c>
    </row>
    <row r="8" spans="1:21" x14ac:dyDescent="0.3">
      <c r="A8" t="s">
        <v>272</v>
      </c>
      <c r="B8">
        <v>431.01600000000002</v>
      </c>
      <c r="C8">
        <v>80.328999999999994</v>
      </c>
      <c r="D8">
        <v>100</v>
      </c>
      <c r="E8">
        <v>0.63</v>
      </c>
      <c r="F8">
        <v>88.506</v>
      </c>
      <c r="G8">
        <v>50</v>
      </c>
      <c r="H8">
        <v>163.16800000000001</v>
      </c>
      <c r="I8">
        <v>46.633000000000003</v>
      </c>
      <c r="J8">
        <v>13.756</v>
      </c>
      <c r="K8">
        <v>230.191</v>
      </c>
      <c r="L8">
        <v>19.850000000000001</v>
      </c>
      <c r="M8">
        <v>52.414000000000001</v>
      </c>
      <c r="N8">
        <v>19.795999999999999</v>
      </c>
      <c r="O8">
        <v>1.091</v>
      </c>
      <c r="P8">
        <v>0</v>
      </c>
      <c r="Q8">
        <v>92.703000000000003</v>
      </c>
      <c r="R8">
        <v>74</v>
      </c>
      <c r="S8">
        <v>71</v>
      </c>
    </row>
    <row r="9" spans="1:21" x14ac:dyDescent="0.3">
      <c r="A9" t="s">
        <v>273</v>
      </c>
      <c r="B9">
        <v>431.34500000000003</v>
      </c>
      <c r="C9">
        <v>80.341999999999999</v>
      </c>
      <c r="D9">
        <v>41.793999999999997</v>
      </c>
      <c r="E9">
        <v>0.71699999999999997</v>
      </c>
      <c r="F9">
        <v>87.655000000000001</v>
      </c>
      <c r="G9">
        <v>50</v>
      </c>
      <c r="H9">
        <v>163.31</v>
      </c>
      <c r="I9">
        <v>46.283999999999999</v>
      </c>
      <c r="J9">
        <v>13.763999999999999</v>
      </c>
      <c r="K9">
        <v>230.37200000000001</v>
      </c>
      <c r="L9">
        <v>20.082999999999998</v>
      </c>
      <c r="M9">
        <v>52.470999999999997</v>
      </c>
      <c r="N9">
        <v>19.786999999999999</v>
      </c>
      <c r="O9">
        <v>1.087</v>
      </c>
      <c r="P9">
        <v>0</v>
      </c>
      <c r="Q9">
        <v>92.662000000000006</v>
      </c>
      <c r="R9">
        <v>74</v>
      </c>
      <c r="S9">
        <v>71</v>
      </c>
    </row>
    <row r="10" spans="1:21" x14ac:dyDescent="0.3">
      <c r="A10" t="s">
        <v>274</v>
      </c>
      <c r="B10">
        <v>431.91300000000001</v>
      </c>
      <c r="C10">
        <v>79.81</v>
      </c>
      <c r="D10">
        <v>39.993000000000002</v>
      </c>
      <c r="E10">
        <v>0.68500000000000005</v>
      </c>
      <c r="F10">
        <v>87.494</v>
      </c>
      <c r="G10">
        <v>50</v>
      </c>
      <c r="H10">
        <v>163.239</v>
      </c>
      <c r="I10">
        <v>46.555</v>
      </c>
      <c r="J10">
        <v>13.753</v>
      </c>
      <c r="K10">
        <v>230.02699999999999</v>
      </c>
      <c r="L10">
        <v>20.056999999999999</v>
      </c>
      <c r="M10">
        <v>52.491</v>
      </c>
      <c r="N10">
        <v>19.786000000000001</v>
      </c>
      <c r="O10">
        <v>1.0960000000000001</v>
      </c>
      <c r="P10">
        <v>0</v>
      </c>
      <c r="Q10">
        <v>92.528999999999996</v>
      </c>
      <c r="R10">
        <v>74.099999999999994</v>
      </c>
      <c r="S10">
        <v>71</v>
      </c>
    </row>
    <row r="11" spans="1:21" x14ac:dyDescent="0.3">
      <c r="A11" t="s">
        <v>275</v>
      </c>
      <c r="B11">
        <v>431.42599999999999</v>
      </c>
      <c r="C11">
        <v>79.957999999999998</v>
      </c>
      <c r="D11">
        <v>39.923999999999999</v>
      </c>
      <c r="E11">
        <v>0.65500000000000003</v>
      </c>
      <c r="F11">
        <v>87.54</v>
      </c>
      <c r="G11">
        <v>50</v>
      </c>
      <c r="H11">
        <v>163.173</v>
      </c>
      <c r="I11">
        <v>46.555</v>
      </c>
      <c r="J11">
        <v>13.765000000000001</v>
      </c>
      <c r="K11">
        <v>230.322</v>
      </c>
      <c r="L11">
        <v>20.082999999999998</v>
      </c>
      <c r="M11">
        <v>52.524000000000001</v>
      </c>
      <c r="N11">
        <v>19.783999999999999</v>
      </c>
      <c r="O11">
        <v>1.083</v>
      </c>
      <c r="P11">
        <v>0</v>
      </c>
      <c r="Q11">
        <v>92.674000000000007</v>
      </c>
      <c r="R11">
        <v>74.099999999999994</v>
      </c>
      <c r="S11">
        <v>71</v>
      </c>
    </row>
    <row r="12" spans="1:21" x14ac:dyDescent="0.3">
      <c r="A12" t="s">
        <v>276</v>
      </c>
      <c r="B12">
        <v>432.33300000000003</v>
      </c>
      <c r="C12">
        <v>79.899000000000001</v>
      </c>
      <c r="D12">
        <v>39.914999999999999</v>
      </c>
      <c r="E12">
        <v>0.70299999999999996</v>
      </c>
      <c r="F12">
        <v>87.194999999999993</v>
      </c>
      <c r="G12">
        <v>50</v>
      </c>
      <c r="H12">
        <v>163.16200000000001</v>
      </c>
      <c r="I12">
        <v>46.493000000000002</v>
      </c>
      <c r="J12">
        <v>13.76</v>
      </c>
      <c r="K12">
        <v>230.22399999999999</v>
      </c>
      <c r="L12">
        <v>19.858000000000001</v>
      </c>
      <c r="M12">
        <v>52.476999999999997</v>
      </c>
      <c r="N12">
        <v>19.783999999999999</v>
      </c>
      <c r="O12">
        <v>1.087</v>
      </c>
      <c r="P12">
        <v>0</v>
      </c>
      <c r="Q12">
        <v>92.769000000000005</v>
      </c>
      <c r="R12">
        <v>74.099999999999994</v>
      </c>
      <c r="S12">
        <v>71</v>
      </c>
    </row>
    <row r="13" spans="1:21" x14ac:dyDescent="0.3">
      <c r="A13" t="s">
        <v>277</v>
      </c>
      <c r="B13">
        <v>432.31599999999997</v>
      </c>
      <c r="C13">
        <v>79.885999999999996</v>
      </c>
      <c r="D13">
        <v>39.947000000000003</v>
      </c>
      <c r="E13">
        <v>0.71599999999999997</v>
      </c>
      <c r="F13">
        <v>87.207999999999998</v>
      </c>
      <c r="G13">
        <v>50</v>
      </c>
      <c r="H13">
        <v>163.15</v>
      </c>
      <c r="I13">
        <v>46.21</v>
      </c>
      <c r="J13">
        <v>13.757999999999999</v>
      </c>
      <c r="K13">
        <v>229.94399999999999</v>
      </c>
      <c r="L13">
        <v>19.838000000000001</v>
      </c>
      <c r="M13">
        <v>52.402000000000001</v>
      </c>
      <c r="N13">
        <v>19.782</v>
      </c>
      <c r="O13">
        <v>1.1020000000000001</v>
      </c>
      <c r="P13">
        <v>0</v>
      </c>
      <c r="Q13">
        <v>92.658000000000001</v>
      </c>
      <c r="R13">
        <v>74</v>
      </c>
      <c r="S13">
        <v>71</v>
      </c>
    </row>
    <row r="14" spans="1:21" x14ac:dyDescent="0.3">
      <c r="A14" t="s">
        <v>278</v>
      </c>
      <c r="B14">
        <v>431.13900000000001</v>
      </c>
      <c r="C14">
        <v>79.921999999999997</v>
      </c>
      <c r="D14">
        <v>40.069000000000003</v>
      </c>
      <c r="E14">
        <v>0.69799999999999995</v>
      </c>
      <c r="F14">
        <v>88.033000000000001</v>
      </c>
      <c r="G14">
        <v>50</v>
      </c>
      <c r="H14">
        <v>163.27099999999999</v>
      </c>
      <c r="I14">
        <v>46.722999999999999</v>
      </c>
      <c r="J14">
        <v>13.757</v>
      </c>
      <c r="K14">
        <v>230.142</v>
      </c>
      <c r="L14">
        <v>20.041</v>
      </c>
      <c r="M14">
        <v>52.537999999999997</v>
      </c>
      <c r="N14">
        <v>19.783000000000001</v>
      </c>
      <c r="O14">
        <v>1.1000000000000001</v>
      </c>
      <c r="P14">
        <v>0</v>
      </c>
      <c r="Q14">
        <v>92.685000000000002</v>
      </c>
      <c r="R14">
        <v>74.099999999999994</v>
      </c>
      <c r="S14">
        <v>71</v>
      </c>
    </row>
    <row r="15" spans="1:21" x14ac:dyDescent="0.3">
      <c r="A15" t="s">
        <v>279</v>
      </c>
      <c r="B15">
        <v>432.12200000000001</v>
      </c>
      <c r="C15">
        <v>79.944999999999993</v>
      </c>
      <c r="D15">
        <v>39.954000000000001</v>
      </c>
      <c r="E15">
        <v>0.66800000000000004</v>
      </c>
      <c r="F15">
        <v>87.983999999999995</v>
      </c>
      <c r="G15">
        <v>50</v>
      </c>
      <c r="H15">
        <v>163.18100000000001</v>
      </c>
      <c r="I15">
        <v>46.345999999999997</v>
      </c>
      <c r="J15">
        <v>13.763999999999999</v>
      </c>
      <c r="K15">
        <v>230.191</v>
      </c>
      <c r="L15">
        <v>20.044</v>
      </c>
      <c r="M15">
        <v>52.548000000000002</v>
      </c>
      <c r="N15">
        <v>19.788</v>
      </c>
      <c r="O15">
        <v>1.085</v>
      </c>
      <c r="P15">
        <v>0</v>
      </c>
      <c r="Q15">
        <v>92.742000000000004</v>
      </c>
      <c r="R15">
        <v>74.099999999999994</v>
      </c>
      <c r="S15">
        <v>71</v>
      </c>
    </row>
    <row r="16" spans="1:21" x14ac:dyDescent="0.3">
      <c r="A16" t="s">
        <v>280</v>
      </c>
      <c r="B16">
        <v>432.35700000000003</v>
      </c>
      <c r="C16">
        <v>79.968000000000004</v>
      </c>
      <c r="D16">
        <v>40.015999999999998</v>
      </c>
      <c r="E16">
        <v>0.65500000000000003</v>
      </c>
      <c r="F16">
        <v>88.536000000000001</v>
      </c>
      <c r="G16">
        <v>50</v>
      </c>
      <c r="H16">
        <v>163.21</v>
      </c>
      <c r="I16">
        <v>46.255000000000003</v>
      </c>
      <c r="J16">
        <v>13.78</v>
      </c>
      <c r="K16">
        <v>230.25700000000001</v>
      </c>
      <c r="L16">
        <v>19.934000000000001</v>
      </c>
      <c r="M16">
        <v>52.405999999999999</v>
      </c>
      <c r="N16">
        <v>19.805</v>
      </c>
      <c r="O16">
        <v>1.0820000000000001</v>
      </c>
      <c r="P16">
        <v>0</v>
      </c>
      <c r="Q16">
        <v>92.578999999999994</v>
      </c>
      <c r="R16">
        <v>74.099999999999994</v>
      </c>
      <c r="S16">
        <v>71</v>
      </c>
    </row>
    <row r="17" spans="1:19" x14ac:dyDescent="0.3">
      <c r="A17" t="s">
        <v>281</v>
      </c>
      <c r="B17">
        <v>432.35700000000003</v>
      </c>
      <c r="C17">
        <v>79.935000000000002</v>
      </c>
      <c r="D17">
        <v>40.045999999999999</v>
      </c>
      <c r="E17">
        <v>0.621</v>
      </c>
      <c r="F17">
        <v>87.933999999999997</v>
      </c>
      <c r="G17">
        <v>50</v>
      </c>
      <c r="H17">
        <v>163.221</v>
      </c>
      <c r="I17">
        <v>46.710999999999999</v>
      </c>
      <c r="J17">
        <v>13.76</v>
      </c>
      <c r="K17">
        <v>230.04300000000001</v>
      </c>
      <c r="L17">
        <v>20.032</v>
      </c>
      <c r="M17">
        <v>52.384</v>
      </c>
      <c r="N17">
        <v>19.797000000000001</v>
      </c>
      <c r="O17">
        <v>1.093</v>
      </c>
      <c r="P17">
        <v>0</v>
      </c>
      <c r="Q17">
        <v>92.686999999999998</v>
      </c>
      <c r="R17">
        <v>74.099999999999994</v>
      </c>
      <c r="S17">
        <v>71</v>
      </c>
    </row>
    <row r="18" spans="1:19" x14ac:dyDescent="0.3">
      <c r="A18" t="s">
        <v>282</v>
      </c>
      <c r="B18">
        <v>433.07600000000002</v>
      </c>
      <c r="C18">
        <v>79.988</v>
      </c>
      <c r="D18">
        <v>40.104999999999997</v>
      </c>
      <c r="E18">
        <v>0.60899999999999999</v>
      </c>
      <c r="F18">
        <v>88.444000000000003</v>
      </c>
      <c r="G18">
        <v>50</v>
      </c>
      <c r="H18">
        <v>163.227</v>
      </c>
      <c r="I18">
        <v>46.456000000000003</v>
      </c>
      <c r="J18">
        <v>13.756</v>
      </c>
      <c r="K18">
        <v>230.191</v>
      </c>
      <c r="L18">
        <v>19.95</v>
      </c>
      <c r="M18">
        <v>52.433</v>
      </c>
      <c r="N18">
        <v>19.789000000000001</v>
      </c>
      <c r="O18">
        <v>1.089</v>
      </c>
      <c r="P18">
        <v>0</v>
      </c>
      <c r="Q18">
        <v>92.613</v>
      </c>
      <c r="R18">
        <v>74.099999999999994</v>
      </c>
      <c r="S18">
        <v>71</v>
      </c>
    </row>
    <row r="19" spans="1:19" x14ac:dyDescent="0.3">
      <c r="A19" t="s">
        <v>283</v>
      </c>
      <c r="B19">
        <v>431.85700000000003</v>
      </c>
      <c r="C19">
        <v>79.965000000000003</v>
      </c>
      <c r="D19">
        <v>40.137999999999998</v>
      </c>
      <c r="E19">
        <v>0.67900000000000005</v>
      </c>
      <c r="F19">
        <v>88.27</v>
      </c>
      <c r="G19">
        <v>50</v>
      </c>
      <c r="H19">
        <v>163.21</v>
      </c>
      <c r="I19">
        <v>46.268000000000001</v>
      </c>
      <c r="J19">
        <v>13.765000000000001</v>
      </c>
      <c r="K19">
        <v>229.91200000000001</v>
      </c>
      <c r="L19">
        <v>19.911999999999999</v>
      </c>
      <c r="M19">
        <v>52.633000000000003</v>
      </c>
      <c r="N19">
        <v>19.792000000000002</v>
      </c>
      <c r="O19">
        <v>1.091</v>
      </c>
      <c r="P19">
        <v>0</v>
      </c>
      <c r="Q19">
        <v>92.66</v>
      </c>
      <c r="R19">
        <v>74.099999999999994</v>
      </c>
      <c r="S19">
        <v>71</v>
      </c>
    </row>
    <row r="20" spans="1:19" x14ac:dyDescent="0.3">
      <c r="A20" t="s">
        <v>284</v>
      </c>
      <c r="B20">
        <v>432.15100000000001</v>
      </c>
      <c r="C20">
        <v>79.983999999999995</v>
      </c>
      <c r="D20">
        <v>40.140999999999998</v>
      </c>
      <c r="E20">
        <v>0.63900000000000001</v>
      </c>
      <c r="F20">
        <v>87.162000000000006</v>
      </c>
      <c r="G20">
        <v>50</v>
      </c>
      <c r="H20">
        <v>163.17599999999999</v>
      </c>
      <c r="I20">
        <v>46.607999999999997</v>
      </c>
      <c r="J20">
        <v>13.757999999999999</v>
      </c>
      <c r="K20">
        <v>230.273</v>
      </c>
      <c r="L20">
        <v>19.95</v>
      </c>
      <c r="M20">
        <v>52.366</v>
      </c>
      <c r="N20">
        <v>19.786000000000001</v>
      </c>
      <c r="O20">
        <v>1.081</v>
      </c>
      <c r="P20">
        <v>0</v>
      </c>
      <c r="Q20">
        <v>92.596999999999994</v>
      </c>
      <c r="R20">
        <v>74.2</v>
      </c>
      <c r="S20">
        <v>71</v>
      </c>
    </row>
    <row r="21" spans="1:19" x14ac:dyDescent="0.3">
      <c r="A21" t="s">
        <v>285</v>
      </c>
      <c r="B21">
        <v>433.56400000000002</v>
      </c>
      <c r="C21">
        <v>79.960999999999999</v>
      </c>
      <c r="D21">
        <v>40.19</v>
      </c>
      <c r="E21">
        <v>0.66100000000000003</v>
      </c>
      <c r="F21">
        <v>87.994</v>
      </c>
      <c r="G21">
        <v>50</v>
      </c>
      <c r="H21">
        <v>163.27699999999999</v>
      </c>
      <c r="I21">
        <v>46.472999999999999</v>
      </c>
      <c r="J21">
        <v>13.760999999999999</v>
      </c>
      <c r="K21">
        <v>229.977</v>
      </c>
      <c r="L21">
        <v>19.945</v>
      </c>
      <c r="M21">
        <v>52.533999999999999</v>
      </c>
      <c r="N21">
        <v>19.789000000000001</v>
      </c>
      <c r="O21">
        <v>1.08</v>
      </c>
      <c r="P21">
        <v>0</v>
      </c>
      <c r="Q21">
        <v>92.486999999999995</v>
      </c>
      <c r="R21">
        <v>74.099999999999994</v>
      </c>
      <c r="S21">
        <v>71</v>
      </c>
    </row>
    <row r="22" spans="1:19" x14ac:dyDescent="0.3">
      <c r="A22" t="s">
        <v>286</v>
      </c>
      <c r="B22">
        <v>430.94600000000003</v>
      </c>
      <c r="C22">
        <v>80.082999999999998</v>
      </c>
      <c r="D22">
        <v>40.197000000000003</v>
      </c>
      <c r="E22">
        <v>0.629</v>
      </c>
      <c r="F22">
        <v>87.846000000000004</v>
      </c>
      <c r="G22">
        <v>50</v>
      </c>
      <c r="H22">
        <v>163.33799999999999</v>
      </c>
      <c r="I22">
        <v>46.374000000000002</v>
      </c>
      <c r="J22">
        <v>13.757</v>
      </c>
      <c r="K22">
        <v>230.273</v>
      </c>
      <c r="L22">
        <v>19.962</v>
      </c>
      <c r="M22">
        <v>52.445</v>
      </c>
      <c r="N22">
        <v>19.785</v>
      </c>
      <c r="O22">
        <v>1.089</v>
      </c>
      <c r="P22">
        <v>0</v>
      </c>
      <c r="Q22">
        <v>92.721000000000004</v>
      </c>
      <c r="R22">
        <v>74.099999999999994</v>
      </c>
      <c r="S22">
        <v>71</v>
      </c>
    </row>
    <row r="23" spans="1:19" x14ac:dyDescent="0.3">
      <c r="A23" t="s">
        <v>287</v>
      </c>
      <c r="B23">
        <v>432.375</v>
      </c>
      <c r="C23">
        <v>80.075999999999993</v>
      </c>
      <c r="D23">
        <v>40.131</v>
      </c>
      <c r="E23">
        <v>0.63800000000000001</v>
      </c>
      <c r="F23">
        <v>88.436999999999998</v>
      </c>
      <c r="G23">
        <v>50</v>
      </c>
      <c r="H23">
        <v>163.25299999999999</v>
      </c>
      <c r="I23">
        <v>46.677999999999997</v>
      </c>
      <c r="J23">
        <v>13.792</v>
      </c>
      <c r="K23">
        <v>229.928</v>
      </c>
      <c r="L23">
        <v>19.968</v>
      </c>
      <c r="M23">
        <v>52.426000000000002</v>
      </c>
      <c r="N23">
        <v>19.838000000000001</v>
      </c>
      <c r="O23">
        <v>1.0860000000000001</v>
      </c>
      <c r="P23">
        <v>0</v>
      </c>
      <c r="Q23">
        <v>92.691999999999993</v>
      </c>
      <c r="R23">
        <v>74.099999999999994</v>
      </c>
      <c r="S23">
        <v>71</v>
      </c>
    </row>
    <row r="24" spans="1:19" x14ac:dyDescent="0.3">
      <c r="A24" t="s">
        <v>288</v>
      </c>
      <c r="B24">
        <v>431.54199999999997</v>
      </c>
      <c r="C24">
        <v>80.082999999999998</v>
      </c>
      <c r="D24">
        <v>40.194000000000003</v>
      </c>
      <c r="E24">
        <v>0.73699999999999999</v>
      </c>
      <c r="F24">
        <v>88.278999999999996</v>
      </c>
      <c r="G24">
        <v>50</v>
      </c>
      <c r="H24">
        <v>163.12200000000001</v>
      </c>
      <c r="I24">
        <v>46.518000000000001</v>
      </c>
      <c r="J24">
        <v>13.753</v>
      </c>
      <c r="K24">
        <v>230.24</v>
      </c>
      <c r="L24">
        <v>19.952000000000002</v>
      </c>
      <c r="M24">
        <v>52.415999999999997</v>
      </c>
      <c r="N24">
        <v>19.783999999999999</v>
      </c>
      <c r="O24">
        <v>1.0820000000000001</v>
      </c>
      <c r="P24">
        <v>0</v>
      </c>
      <c r="Q24">
        <v>92.51</v>
      </c>
      <c r="R24">
        <v>74.099999999999994</v>
      </c>
      <c r="S24">
        <v>71</v>
      </c>
    </row>
    <row r="25" spans="1:19" x14ac:dyDescent="0.3">
      <c r="A25" t="s">
        <v>289</v>
      </c>
      <c r="B25">
        <v>434.88499999999999</v>
      </c>
      <c r="C25">
        <v>80.078999999999994</v>
      </c>
      <c r="D25">
        <v>36.067999999999998</v>
      </c>
      <c r="E25">
        <v>0.69199999999999995</v>
      </c>
      <c r="F25">
        <v>86.998000000000005</v>
      </c>
      <c r="G25">
        <v>50</v>
      </c>
      <c r="H25">
        <v>163.19200000000001</v>
      </c>
      <c r="I25">
        <v>46.414999999999999</v>
      </c>
      <c r="J25">
        <v>13.757</v>
      </c>
      <c r="K25">
        <v>229.94399999999999</v>
      </c>
      <c r="L25">
        <v>19.942</v>
      </c>
      <c r="M25">
        <v>52.436999999999998</v>
      </c>
      <c r="N25">
        <v>19.797999999999998</v>
      </c>
      <c r="O25">
        <v>1.101</v>
      </c>
      <c r="P25">
        <v>0</v>
      </c>
      <c r="Q25">
        <v>92.629000000000005</v>
      </c>
      <c r="R25">
        <v>74.2</v>
      </c>
      <c r="S25">
        <v>71</v>
      </c>
    </row>
    <row r="26" spans="1:19" x14ac:dyDescent="0.3">
      <c r="A26" t="s">
        <v>290</v>
      </c>
      <c r="B26">
        <v>432.44799999999998</v>
      </c>
      <c r="C26">
        <v>80.075999999999993</v>
      </c>
      <c r="D26">
        <v>31.856000000000002</v>
      </c>
      <c r="E26">
        <v>0.68300000000000005</v>
      </c>
      <c r="F26">
        <v>87.858999999999995</v>
      </c>
      <c r="G26">
        <v>50</v>
      </c>
      <c r="H26">
        <v>163.20599999999999</v>
      </c>
      <c r="I26">
        <v>46.555</v>
      </c>
      <c r="J26">
        <v>13.753</v>
      </c>
      <c r="K26">
        <v>230.24</v>
      </c>
      <c r="L26">
        <v>19.959</v>
      </c>
      <c r="M26">
        <v>52.372</v>
      </c>
      <c r="N26">
        <v>19.792999999999999</v>
      </c>
      <c r="O26">
        <v>1.095</v>
      </c>
      <c r="P26">
        <v>0</v>
      </c>
      <c r="Q26">
        <v>92.543999999999997</v>
      </c>
      <c r="R26">
        <v>74.099999999999994</v>
      </c>
      <c r="S26">
        <v>71</v>
      </c>
    </row>
    <row r="27" spans="1:19" x14ac:dyDescent="0.3">
      <c r="A27" t="s">
        <v>291</v>
      </c>
      <c r="B27">
        <v>432.99099999999999</v>
      </c>
      <c r="C27">
        <v>80.082999999999998</v>
      </c>
      <c r="D27">
        <v>31.911999999999999</v>
      </c>
      <c r="E27">
        <v>0.628</v>
      </c>
      <c r="F27">
        <v>88.378</v>
      </c>
      <c r="G27">
        <v>50</v>
      </c>
      <c r="H27">
        <v>163.21299999999999</v>
      </c>
      <c r="I27">
        <v>46.53</v>
      </c>
      <c r="J27">
        <v>13.752000000000001</v>
      </c>
      <c r="K27">
        <v>229.977</v>
      </c>
      <c r="L27">
        <v>19.948</v>
      </c>
      <c r="M27">
        <v>52.459000000000003</v>
      </c>
      <c r="N27">
        <v>19.789000000000001</v>
      </c>
      <c r="O27">
        <v>1.091</v>
      </c>
      <c r="P27">
        <v>0</v>
      </c>
      <c r="Q27">
        <v>92.584000000000003</v>
      </c>
      <c r="R27">
        <v>74.2</v>
      </c>
      <c r="S27">
        <v>71</v>
      </c>
    </row>
    <row r="28" spans="1:19" x14ac:dyDescent="0.3">
      <c r="A28" t="s">
        <v>292</v>
      </c>
      <c r="B28">
        <v>432.66899999999998</v>
      </c>
      <c r="C28">
        <v>80.108999999999995</v>
      </c>
      <c r="D28">
        <v>31.905000000000001</v>
      </c>
      <c r="E28">
        <v>0.65100000000000002</v>
      </c>
      <c r="F28">
        <v>88.91</v>
      </c>
      <c r="G28">
        <v>50</v>
      </c>
      <c r="H28">
        <v>163.21700000000001</v>
      </c>
      <c r="I28">
        <v>46.621000000000002</v>
      </c>
      <c r="J28">
        <v>13.759</v>
      </c>
      <c r="K28">
        <v>230.22399999999999</v>
      </c>
      <c r="L28">
        <v>19.971</v>
      </c>
      <c r="M28">
        <v>52.335000000000001</v>
      </c>
      <c r="N28">
        <v>19.785</v>
      </c>
      <c r="O28">
        <v>1.091</v>
      </c>
      <c r="P28">
        <v>0</v>
      </c>
      <c r="Q28">
        <v>92.5</v>
      </c>
      <c r="R28">
        <v>74.2</v>
      </c>
      <c r="S28">
        <v>71</v>
      </c>
    </row>
    <row r="29" spans="1:19" x14ac:dyDescent="0.3">
      <c r="A29" t="s">
        <v>293</v>
      </c>
      <c r="B29">
        <v>433.20299999999997</v>
      </c>
      <c r="C29">
        <v>80.108999999999995</v>
      </c>
      <c r="D29">
        <v>31.885000000000002</v>
      </c>
      <c r="E29">
        <v>0.60699999999999998</v>
      </c>
      <c r="F29">
        <v>86.856999999999999</v>
      </c>
      <c r="G29">
        <v>50</v>
      </c>
      <c r="H29">
        <v>163.15700000000001</v>
      </c>
      <c r="I29">
        <v>46.374000000000002</v>
      </c>
      <c r="J29">
        <v>13.785</v>
      </c>
      <c r="K29">
        <v>230.10900000000001</v>
      </c>
      <c r="L29">
        <v>19.975000000000001</v>
      </c>
      <c r="M29">
        <v>52.335000000000001</v>
      </c>
      <c r="N29">
        <v>19.835000000000001</v>
      </c>
      <c r="O29">
        <v>1.087</v>
      </c>
      <c r="P29">
        <v>0</v>
      </c>
      <c r="Q29">
        <v>92.507999999999996</v>
      </c>
      <c r="R29">
        <v>74.2</v>
      </c>
      <c r="S29">
        <v>71</v>
      </c>
    </row>
    <row r="30" spans="1:19" x14ac:dyDescent="0.3">
      <c r="A30" t="s">
        <v>294</v>
      </c>
      <c r="B30">
        <v>432.536</v>
      </c>
      <c r="C30">
        <v>80.141999999999996</v>
      </c>
      <c r="D30">
        <v>31.991</v>
      </c>
      <c r="E30">
        <v>0.73599999999999999</v>
      </c>
      <c r="F30">
        <v>88.391000000000005</v>
      </c>
      <c r="G30">
        <v>50</v>
      </c>
      <c r="H30">
        <v>163.154</v>
      </c>
      <c r="I30">
        <v>46.686</v>
      </c>
      <c r="J30">
        <v>13.760999999999999</v>
      </c>
      <c r="K30">
        <v>230.35499999999999</v>
      </c>
      <c r="L30">
        <v>19.963999999999999</v>
      </c>
      <c r="M30">
        <v>52.56</v>
      </c>
      <c r="N30">
        <v>19.795000000000002</v>
      </c>
      <c r="O30">
        <v>1.0900000000000001</v>
      </c>
      <c r="P30">
        <v>0</v>
      </c>
      <c r="Q30">
        <v>92.426000000000002</v>
      </c>
      <c r="R30">
        <v>74.2</v>
      </c>
      <c r="S30">
        <v>71</v>
      </c>
    </row>
    <row r="31" spans="1:19" x14ac:dyDescent="0.3">
      <c r="A31" t="s">
        <v>295</v>
      </c>
      <c r="B31">
        <v>434.76799999999997</v>
      </c>
      <c r="C31">
        <v>80.168000000000006</v>
      </c>
      <c r="D31">
        <v>31.977</v>
      </c>
      <c r="E31">
        <v>0.65200000000000002</v>
      </c>
      <c r="F31">
        <v>88.781999999999996</v>
      </c>
      <c r="G31">
        <v>50</v>
      </c>
      <c r="H31">
        <v>163.286</v>
      </c>
      <c r="I31">
        <v>46.686</v>
      </c>
      <c r="J31">
        <v>13.755000000000001</v>
      </c>
      <c r="K31">
        <v>230.142</v>
      </c>
      <c r="L31">
        <v>19.937000000000001</v>
      </c>
      <c r="M31">
        <v>52.481000000000002</v>
      </c>
      <c r="N31">
        <v>19.792999999999999</v>
      </c>
      <c r="O31">
        <v>1.095</v>
      </c>
      <c r="P31">
        <v>0</v>
      </c>
      <c r="Q31">
        <v>92.543000000000006</v>
      </c>
      <c r="R31">
        <v>74.2</v>
      </c>
      <c r="S31">
        <v>71</v>
      </c>
    </row>
    <row r="32" spans="1:19" x14ac:dyDescent="0.3">
      <c r="A32" t="s">
        <v>296</v>
      </c>
      <c r="B32">
        <v>434.62099999999998</v>
      </c>
      <c r="C32">
        <v>80.221000000000004</v>
      </c>
      <c r="D32">
        <v>32.03</v>
      </c>
      <c r="E32">
        <v>0.67500000000000004</v>
      </c>
      <c r="F32">
        <v>88.495999999999995</v>
      </c>
      <c r="G32">
        <v>50</v>
      </c>
      <c r="H32">
        <v>163.23699999999999</v>
      </c>
      <c r="I32">
        <v>46.497999999999998</v>
      </c>
      <c r="J32">
        <v>13.762</v>
      </c>
      <c r="K32">
        <v>230.22399999999999</v>
      </c>
      <c r="L32">
        <v>19.943999999999999</v>
      </c>
      <c r="M32">
        <v>52.4</v>
      </c>
      <c r="N32">
        <v>19.795000000000002</v>
      </c>
      <c r="O32">
        <v>1.23</v>
      </c>
      <c r="P32">
        <v>0</v>
      </c>
      <c r="Q32">
        <v>92.331999999999994</v>
      </c>
      <c r="R32">
        <v>74.099999999999994</v>
      </c>
      <c r="S32">
        <v>71</v>
      </c>
    </row>
    <row r="33" spans="1:19" x14ac:dyDescent="0.3">
      <c r="A33" t="s">
        <v>297</v>
      </c>
      <c r="B33">
        <v>434.38099999999997</v>
      </c>
      <c r="C33">
        <v>79.991</v>
      </c>
      <c r="D33">
        <v>32.045999999999999</v>
      </c>
      <c r="E33">
        <v>0.69099999999999995</v>
      </c>
      <c r="F33">
        <v>88.756</v>
      </c>
      <c r="G33">
        <v>50</v>
      </c>
      <c r="H33">
        <v>163.16300000000001</v>
      </c>
      <c r="I33">
        <v>46.325000000000003</v>
      </c>
      <c r="J33">
        <v>13.747</v>
      </c>
      <c r="K33">
        <v>229.846</v>
      </c>
      <c r="L33">
        <v>19.945</v>
      </c>
      <c r="M33">
        <v>52.581000000000003</v>
      </c>
      <c r="N33">
        <v>19.791</v>
      </c>
      <c r="O33">
        <v>1.0900000000000001</v>
      </c>
      <c r="P33">
        <v>0</v>
      </c>
      <c r="Q33">
        <v>92.527000000000001</v>
      </c>
      <c r="R33">
        <v>74.2</v>
      </c>
      <c r="S33">
        <v>71</v>
      </c>
    </row>
    <row r="34" spans="1:19" x14ac:dyDescent="0.3">
      <c r="A34" t="s">
        <v>298</v>
      </c>
      <c r="B34">
        <v>434.18</v>
      </c>
      <c r="C34">
        <v>80.010000000000005</v>
      </c>
      <c r="D34">
        <v>32.142000000000003</v>
      </c>
      <c r="E34">
        <v>0.57299999999999995</v>
      </c>
      <c r="F34">
        <v>88.388000000000005</v>
      </c>
      <c r="G34">
        <v>50</v>
      </c>
      <c r="H34">
        <v>163.14099999999999</v>
      </c>
      <c r="I34">
        <v>46.570999999999998</v>
      </c>
      <c r="J34">
        <v>13.762</v>
      </c>
      <c r="K34">
        <v>230.322</v>
      </c>
      <c r="L34">
        <v>20.003</v>
      </c>
      <c r="M34">
        <v>52.451000000000001</v>
      </c>
      <c r="N34">
        <v>19.785</v>
      </c>
      <c r="O34">
        <v>1.089</v>
      </c>
      <c r="P34">
        <v>0</v>
      </c>
      <c r="Q34">
        <v>92.466999999999999</v>
      </c>
      <c r="R34">
        <v>74.2</v>
      </c>
      <c r="S34">
        <v>71</v>
      </c>
    </row>
    <row r="35" spans="1:19" ht="15" thickBot="1" x14ac:dyDescent="0.35">
      <c r="A35" t="s">
        <v>299</v>
      </c>
      <c r="B35">
        <v>432.80700000000002</v>
      </c>
      <c r="C35">
        <v>80.072999999999993</v>
      </c>
      <c r="D35">
        <v>32.03</v>
      </c>
      <c r="E35">
        <v>0.61199999999999999</v>
      </c>
      <c r="F35">
        <v>88.49</v>
      </c>
      <c r="G35">
        <v>50</v>
      </c>
      <c r="H35">
        <v>163.26400000000001</v>
      </c>
      <c r="I35">
        <v>46.563000000000002</v>
      </c>
      <c r="J35">
        <v>13.753</v>
      </c>
      <c r="K35">
        <v>229.994</v>
      </c>
      <c r="L35">
        <v>20.023</v>
      </c>
      <c r="M35">
        <v>52.43</v>
      </c>
      <c r="N35">
        <v>19.792999999999999</v>
      </c>
      <c r="O35">
        <v>1.097</v>
      </c>
      <c r="P35">
        <v>0</v>
      </c>
      <c r="Q35">
        <v>92.46</v>
      </c>
      <c r="R35">
        <v>74.2</v>
      </c>
      <c r="S35">
        <v>71</v>
      </c>
    </row>
    <row r="36" spans="1:19" ht="15" thickBot="1" x14ac:dyDescent="0.35">
      <c r="A36" t="s">
        <v>30</v>
      </c>
      <c r="B36" s="1">
        <f>AVERAGE(B6:B35)</f>
        <v>432.61116666666663</v>
      </c>
      <c r="C36" s="1">
        <f>AVERAGE(C6:C35)</f>
        <v>80.0608</v>
      </c>
      <c r="D36" s="1">
        <f t="shared" ref="D36:S36" si="0">AVERAGE(D6:D35)</f>
        <v>43.286533333333331</v>
      </c>
      <c r="E36" s="10">
        <f t="shared" si="0"/>
        <v>0.65969999999999984</v>
      </c>
      <c r="F36" s="1">
        <f t="shared" si="0"/>
        <v>88.043066666666647</v>
      </c>
      <c r="G36" s="1">
        <f t="shared" si="0"/>
        <v>50</v>
      </c>
      <c r="H36" s="10">
        <f t="shared" si="0"/>
        <v>163.20780000000005</v>
      </c>
      <c r="I36" s="1">
        <f t="shared" si="0"/>
        <v>46.491533333333329</v>
      </c>
      <c r="J36" s="8">
        <f t="shared" si="0"/>
        <v>13.760933333333336</v>
      </c>
      <c r="K36" s="1">
        <f t="shared" si="0"/>
        <v>230.13833333333329</v>
      </c>
      <c r="L36" s="1">
        <f t="shared" si="0"/>
        <v>19.966400000000004</v>
      </c>
      <c r="M36" s="1">
        <f t="shared" si="0"/>
        <v>52.456833333333336</v>
      </c>
      <c r="N36" s="1">
        <f t="shared" si="0"/>
        <v>19.792833333333338</v>
      </c>
      <c r="O36" s="1">
        <f t="shared" si="0"/>
        <v>1.0944666666666665</v>
      </c>
      <c r="P36" s="1">
        <f t="shared" si="0"/>
        <v>0</v>
      </c>
      <c r="Q36" s="1">
        <f t="shared" si="0"/>
        <v>92.59426666666667</v>
      </c>
      <c r="R36" s="1">
        <f t="shared" si="0"/>
        <v>74.116666666666646</v>
      </c>
      <c r="S36" s="1">
        <f t="shared" si="0"/>
        <v>71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4615-7AD2-4524-969B-C72A393712F2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0.65667824074074077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1.7089932092101034</v>
      </c>
      <c r="M2" s="8">
        <f>100*(R26/(R26+Q26))</f>
        <v>31.338775829858623</v>
      </c>
      <c r="O2" s="9">
        <f>100*((E26*C2)/((E26*C2)+(K2*E2)))</f>
        <v>15.589143322023688</v>
      </c>
      <c r="Q2" s="10">
        <f>100*J26*(1/(((C2/3.6)*E26)+((E2/3.6)*K2)))</f>
        <v>2.3101667319087239E-3</v>
      </c>
      <c r="S2" s="6">
        <v>3.54</v>
      </c>
      <c r="U2" s="10">
        <f>100*((((G26*0.001*60)*(C26-D26)*(S2/3.6)))/(((C2/3.6)*E26)+((E2/3.6)*K2)))</f>
        <v>23.655388017170409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810</v>
      </c>
      <c r="B6">
        <v>163.833</v>
      </c>
      <c r="C6">
        <v>69.165999999999997</v>
      </c>
      <c r="D6">
        <v>47.640999999999998</v>
      </c>
      <c r="E6">
        <v>0.34799999999999998</v>
      </c>
      <c r="F6">
        <v>78.873999999999995</v>
      </c>
      <c r="G6">
        <v>5.0650000000000004</v>
      </c>
      <c r="H6">
        <v>125.949</v>
      </c>
      <c r="I6">
        <v>37.167999999999999</v>
      </c>
      <c r="J6">
        <v>0</v>
      </c>
      <c r="K6">
        <v>229.435</v>
      </c>
      <c r="L6">
        <v>0</v>
      </c>
      <c r="M6">
        <v>52.734999999999999</v>
      </c>
      <c r="N6">
        <v>0</v>
      </c>
      <c r="O6">
        <v>0.96899999999999997</v>
      </c>
      <c r="P6">
        <v>0</v>
      </c>
      <c r="Q6">
        <v>79.465999999999994</v>
      </c>
      <c r="R6">
        <v>38.5</v>
      </c>
      <c r="S6">
        <v>32.700000000000003</v>
      </c>
    </row>
    <row r="7" spans="1:21" x14ac:dyDescent="0.3">
      <c r="A7" t="s">
        <v>811</v>
      </c>
      <c r="B7">
        <v>164.00200000000001</v>
      </c>
      <c r="C7">
        <v>69.126999999999995</v>
      </c>
      <c r="D7">
        <v>47.601999999999997</v>
      </c>
      <c r="E7">
        <v>0.32500000000000001</v>
      </c>
      <c r="F7">
        <v>79.224999999999994</v>
      </c>
      <c r="G7">
        <v>5.1870000000000003</v>
      </c>
      <c r="H7">
        <v>126.58199999999999</v>
      </c>
      <c r="I7">
        <v>37.220999999999997</v>
      </c>
      <c r="J7">
        <v>1E-3</v>
      </c>
      <c r="K7">
        <v>229.82900000000001</v>
      </c>
      <c r="L7">
        <v>4.0000000000000001E-3</v>
      </c>
      <c r="M7">
        <v>52.688000000000002</v>
      </c>
      <c r="N7">
        <v>0</v>
      </c>
      <c r="O7">
        <v>0.97199999999999998</v>
      </c>
      <c r="P7">
        <v>0</v>
      </c>
      <c r="Q7">
        <v>79.832999999999998</v>
      </c>
      <c r="R7">
        <v>38.299999999999997</v>
      </c>
      <c r="S7">
        <v>32.700000000000003</v>
      </c>
    </row>
    <row r="8" spans="1:21" x14ac:dyDescent="0.3">
      <c r="A8" t="s">
        <v>812</v>
      </c>
      <c r="B8">
        <v>163.73599999999999</v>
      </c>
      <c r="C8">
        <v>69.179000000000002</v>
      </c>
      <c r="D8">
        <v>47.654000000000003</v>
      </c>
      <c r="E8">
        <v>0.35499999999999998</v>
      </c>
      <c r="F8">
        <v>79.188999999999993</v>
      </c>
      <c r="G8">
        <v>4.7729999999999997</v>
      </c>
      <c r="H8">
        <v>126.56100000000001</v>
      </c>
      <c r="I8">
        <v>37.311</v>
      </c>
      <c r="J8">
        <v>0</v>
      </c>
      <c r="K8">
        <v>229.41900000000001</v>
      </c>
      <c r="L8">
        <v>1E-3</v>
      </c>
      <c r="M8">
        <v>52.756999999999998</v>
      </c>
      <c r="N8">
        <v>0</v>
      </c>
      <c r="O8">
        <v>0.98599999999999999</v>
      </c>
      <c r="P8">
        <v>0</v>
      </c>
      <c r="Q8">
        <v>80.070999999999998</v>
      </c>
      <c r="R8">
        <v>38.4</v>
      </c>
      <c r="S8">
        <v>32.700000000000003</v>
      </c>
    </row>
    <row r="9" spans="1:21" x14ac:dyDescent="0.3">
      <c r="A9" t="s">
        <v>813</v>
      </c>
      <c r="B9">
        <v>163.809</v>
      </c>
      <c r="C9">
        <v>69.204999999999998</v>
      </c>
      <c r="D9">
        <v>47.53</v>
      </c>
      <c r="E9">
        <v>0.36099999999999999</v>
      </c>
      <c r="F9">
        <v>79.028000000000006</v>
      </c>
      <c r="G9">
        <v>5.3230000000000004</v>
      </c>
      <c r="H9">
        <v>126.509</v>
      </c>
      <c r="I9">
        <v>36.749000000000002</v>
      </c>
      <c r="J9">
        <v>1E-3</v>
      </c>
      <c r="K9">
        <v>229.797</v>
      </c>
      <c r="L9">
        <v>5.0000000000000001E-3</v>
      </c>
      <c r="M9">
        <v>52.606999999999999</v>
      </c>
      <c r="N9">
        <v>0</v>
      </c>
      <c r="O9">
        <v>0.96499999999999997</v>
      </c>
      <c r="P9">
        <v>0</v>
      </c>
      <c r="Q9">
        <v>80.213999999999999</v>
      </c>
      <c r="R9">
        <v>38.299999999999997</v>
      </c>
      <c r="S9">
        <v>32.700000000000003</v>
      </c>
    </row>
    <row r="10" spans="1:21" x14ac:dyDescent="0.3">
      <c r="A10" t="s">
        <v>814</v>
      </c>
      <c r="B10">
        <v>163.637</v>
      </c>
      <c r="C10">
        <v>69.201999999999998</v>
      </c>
      <c r="D10">
        <v>47.378999999999998</v>
      </c>
      <c r="E10">
        <v>0.32800000000000001</v>
      </c>
      <c r="F10">
        <v>77.632000000000005</v>
      </c>
      <c r="G10">
        <v>4.7649999999999997</v>
      </c>
      <c r="H10">
        <v>126.694</v>
      </c>
      <c r="I10">
        <v>37.131</v>
      </c>
      <c r="J10">
        <v>1E-3</v>
      </c>
      <c r="K10">
        <v>229.46799999999999</v>
      </c>
      <c r="L10">
        <v>1E-3</v>
      </c>
      <c r="M10">
        <v>52.878999999999998</v>
      </c>
      <c r="N10">
        <v>0</v>
      </c>
      <c r="O10">
        <v>0.98399999999999999</v>
      </c>
      <c r="P10">
        <v>0</v>
      </c>
      <c r="Q10">
        <v>80.436999999999998</v>
      </c>
      <c r="R10">
        <v>37.799999999999997</v>
      </c>
      <c r="S10">
        <v>32.700000000000003</v>
      </c>
    </row>
    <row r="11" spans="1:21" x14ac:dyDescent="0.3">
      <c r="A11" t="s">
        <v>815</v>
      </c>
      <c r="B11">
        <v>163.23500000000001</v>
      </c>
      <c r="C11">
        <v>69.218999999999994</v>
      </c>
      <c r="D11">
        <v>47.25</v>
      </c>
      <c r="E11">
        <v>0.33500000000000002</v>
      </c>
      <c r="F11">
        <v>79.816999999999993</v>
      </c>
      <c r="G11">
        <v>5.0739999999999998</v>
      </c>
      <c r="H11">
        <v>126.578</v>
      </c>
      <c r="I11">
        <v>36.838999999999999</v>
      </c>
      <c r="J11">
        <v>1E-3</v>
      </c>
      <c r="K11">
        <v>229.91200000000001</v>
      </c>
      <c r="L11">
        <v>5.0000000000000001E-3</v>
      </c>
      <c r="M11">
        <v>52.561999999999998</v>
      </c>
      <c r="N11">
        <v>0</v>
      </c>
      <c r="O11">
        <v>0.97199999999999998</v>
      </c>
      <c r="P11">
        <v>0</v>
      </c>
      <c r="Q11">
        <v>80.688999999999993</v>
      </c>
      <c r="R11">
        <v>37.9</v>
      </c>
      <c r="S11">
        <v>32.700000000000003</v>
      </c>
    </row>
    <row r="12" spans="1:21" x14ac:dyDescent="0.3">
      <c r="A12" t="s">
        <v>816</v>
      </c>
      <c r="B12">
        <v>163.52500000000001</v>
      </c>
      <c r="C12">
        <v>69.215000000000003</v>
      </c>
      <c r="D12">
        <v>47.161999999999999</v>
      </c>
      <c r="E12">
        <v>0.36199999999999999</v>
      </c>
      <c r="F12">
        <v>80.213999999999999</v>
      </c>
      <c r="G12">
        <v>5.2409999999999997</v>
      </c>
      <c r="H12">
        <v>126.741</v>
      </c>
      <c r="I12">
        <v>36.826999999999998</v>
      </c>
      <c r="J12">
        <v>1E-3</v>
      </c>
      <c r="K12">
        <v>229.386</v>
      </c>
      <c r="L12">
        <v>5.0000000000000001E-3</v>
      </c>
      <c r="M12">
        <v>52.713000000000001</v>
      </c>
      <c r="N12">
        <v>0</v>
      </c>
      <c r="O12">
        <v>0.99399999999999999</v>
      </c>
      <c r="P12">
        <v>0</v>
      </c>
      <c r="Q12">
        <v>80.962000000000003</v>
      </c>
      <c r="R12">
        <v>37.6</v>
      </c>
      <c r="S12">
        <v>32.700000000000003</v>
      </c>
    </row>
    <row r="13" spans="1:21" x14ac:dyDescent="0.3">
      <c r="A13" t="s">
        <v>817</v>
      </c>
      <c r="B13">
        <v>163.00399999999999</v>
      </c>
      <c r="C13">
        <v>69.198999999999998</v>
      </c>
      <c r="D13">
        <v>47.164999999999999</v>
      </c>
      <c r="E13">
        <v>0.35399999999999998</v>
      </c>
      <c r="F13">
        <v>77.897999999999996</v>
      </c>
      <c r="G13">
        <v>5.1310000000000002</v>
      </c>
      <c r="H13">
        <v>127.074</v>
      </c>
      <c r="I13">
        <v>36.942</v>
      </c>
      <c r="J13">
        <v>1E-3</v>
      </c>
      <c r="K13">
        <v>229.87899999999999</v>
      </c>
      <c r="L13">
        <v>0.10299999999999999</v>
      </c>
      <c r="M13">
        <v>52.734999999999999</v>
      </c>
      <c r="N13">
        <v>0</v>
      </c>
      <c r="O13">
        <v>0.97399999999999998</v>
      </c>
      <c r="P13">
        <v>0</v>
      </c>
      <c r="Q13">
        <v>81.14</v>
      </c>
      <c r="R13">
        <v>37.5</v>
      </c>
      <c r="S13">
        <v>32.700000000000003</v>
      </c>
    </row>
    <row r="14" spans="1:21" x14ac:dyDescent="0.3">
      <c r="A14" t="s">
        <v>818</v>
      </c>
      <c r="B14">
        <v>163.38300000000001</v>
      </c>
      <c r="C14">
        <v>69.224999999999994</v>
      </c>
      <c r="D14">
        <v>47.06</v>
      </c>
      <c r="E14">
        <v>0.38400000000000001</v>
      </c>
      <c r="F14">
        <v>79.153000000000006</v>
      </c>
      <c r="G14">
        <v>5.0880000000000001</v>
      </c>
      <c r="H14">
        <v>127.28400000000001</v>
      </c>
      <c r="I14">
        <v>36.854999999999997</v>
      </c>
      <c r="J14">
        <v>1E-3</v>
      </c>
      <c r="K14">
        <v>229.501</v>
      </c>
      <c r="L14">
        <v>0</v>
      </c>
      <c r="M14">
        <v>52.606999999999999</v>
      </c>
      <c r="N14">
        <v>0</v>
      </c>
      <c r="O14">
        <v>0.96499999999999997</v>
      </c>
      <c r="P14">
        <v>0</v>
      </c>
      <c r="Q14">
        <v>81.281999999999996</v>
      </c>
      <c r="R14">
        <v>37.299999999999997</v>
      </c>
      <c r="S14">
        <v>32.700000000000003</v>
      </c>
    </row>
    <row r="15" spans="1:21" x14ac:dyDescent="0.3">
      <c r="A15" t="s">
        <v>819</v>
      </c>
      <c r="B15">
        <v>163.06</v>
      </c>
      <c r="C15">
        <v>69.231999999999999</v>
      </c>
      <c r="D15">
        <v>46.896000000000001</v>
      </c>
      <c r="E15">
        <v>0.35799999999999998</v>
      </c>
      <c r="F15">
        <v>79.117000000000004</v>
      </c>
      <c r="G15">
        <v>5.1870000000000003</v>
      </c>
      <c r="H15">
        <v>127.389</v>
      </c>
      <c r="I15">
        <v>36.56</v>
      </c>
      <c r="J15">
        <v>1E-3</v>
      </c>
      <c r="K15">
        <v>229.74700000000001</v>
      </c>
      <c r="L15">
        <v>0.109</v>
      </c>
      <c r="M15">
        <v>52.661999999999999</v>
      </c>
      <c r="N15">
        <v>0</v>
      </c>
      <c r="O15">
        <v>0.97799999999999998</v>
      </c>
      <c r="P15">
        <v>0</v>
      </c>
      <c r="Q15">
        <v>81.531999999999996</v>
      </c>
      <c r="R15">
        <v>37.200000000000003</v>
      </c>
      <c r="S15">
        <v>32.700000000000003</v>
      </c>
    </row>
    <row r="16" spans="1:21" x14ac:dyDescent="0.3">
      <c r="A16" t="s">
        <v>820</v>
      </c>
      <c r="B16">
        <v>163.16900000000001</v>
      </c>
      <c r="C16">
        <v>69.215000000000003</v>
      </c>
      <c r="D16">
        <v>46.747999999999998</v>
      </c>
      <c r="E16">
        <v>0.36899999999999999</v>
      </c>
      <c r="F16">
        <v>78.319000000000003</v>
      </c>
      <c r="G16">
        <v>5.0179999999999998</v>
      </c>
      <c r="H16">
        <v>127.46899999999999</v>
      </c>
      <c r="I16">
        <v>36.731999999999999</v>
      </c>
      <c r="J16">
        <v>1E-3</v>
      </c>
      <c r="K16">
        <v>229.61600000000001</v>
      </c>
      <c r="L16">
        <v>0</v>
      </c>
      <c r="M16">
        <v>52.515999999999998</v>
      </c>
      <c r="N16">
        <v>0</v>
      </c>
      <c r="O16">
        <v>0.98699999999999999</v>
      </c>
      <c r="P16">
        <v>0</v>
      </c>
      <c r="Q16">
        <v>81.685000000000002</v>
      </c>
      <c r="R16">
        <v>37</v>
      </c>
      <c r="S16">
        <v>32.700000000000003</v>
      </c>
    </row>
    <row r="17" spans="1:19" x14ac:dyDescent="0.3">
      <c r="A17" t="s">
        <v>821</v>
      </c>
      <c r="B17">
        <v>163.18199999999999</v>
      </c>
      <c r="C17">
        <v>69.204999999999998</v>
      </c>
      <c r="D17">
        <v>46.530999999999999</v>
      </c>
      <c r="E17">
        <v>0.36799999999999999</v>
      </c>
      <c r="F17">
        <v>80.244</v>
      </c>
      <c r="G17">
        <v>4.9820000000000002</v>
      </c>
      <c r="H17">
        <v>127.41800000000001</v>
      </c>
      <c r="I17">
        <v>36.679000000000002</v>
      </c>
      <c r="J17">
        <v>0</v>
      </c>
      <c r="K17">
        <v>229.59899999999999</v>
      </c>
      <c r="L17">
        <v>0</v>
      </c>
      <c r="M17">
        <v>52.603000000000002</v>
      </c>
      <c r="N17">
        <v>0</v>
      </c>
      <c r="O17">
        <v>0.98599999999999999</v>
      </c>
      <c r="P17">
        <v>0</v>
      </c>
      <c r="Q17">
        <v>81.932000000000002</v>
      </c>
      <c r="R17">
        <v>37.1</v>
      </c>
      <c r="S17">
        <v>32.700000000000003</v>
      </c>
    </row>
    <row r="18" spans="1:19" x14ac:dyDescent="0.3">
      <c r="A18" t="s">
        <v>822</v>
      </c>
      <c r="B18">
        <v>163.25800000000001</v>
      </c>
      <c r="C18">
        <v>69.245000000000005</v>
      </c>
      <c r="D18">
        <v>46.537999999999997</v>
      </c>
      <c r="E18">
        <v>0.378</v>
      </c>
      <c r="F18">
        <v>79.356999999999999</v>
      </c>
      <c r="G18">
        <v>5.0510000000000002</v>
      </c>
      <c r="H18">
        <v>127.48</v>
      </c>
      <c r="I18">
        <v>36.334000000000003</v>
      </c>
      <c r="J18">
        <v>0</v>
      </c>
      <c r="K18">
        <v>229.649</v>
      </c>
      <c r="L18">
        <v>0</v>
      </c>
      <c r="M18">
        <v>52.631</v>
      </c>
      <c r="N18">
        <v>0</v>
      </c>
      <c r="O18">
        <v>0.98599999999999999</v>
      </c>
      <c r="P18">
        <v>0</v>
      </c>
      <c r="Q18">
        <v>82.210999999999999</v>
      </c>
      <c r="R18">
        <v>36.700000000000003</v>
      </c>
      <c r="S18">
        <v>32.700000000000003</v>
      </c>
    </row>
    <row r="19" spans="1:19" x14ac:dyDescent="0.3">
      <c r="A19" t="s">
        <v>823</v>
      </c>
      <c r="B19">
        <v>162.999</v>
      </c>
      <c r="C19">
        <v>69.242000000000004</v>
      </c>
      <c r="D19">
        <v>46.530999999999999</v>
      </c>
      <c r="E19">
        <v>0.38900000000000001</v>
      </c>
      <c r="F19">
        <v>79.096999999999994</v>
      </c>
      <c r="G19">
        <v>5.2530000000000001</v>
      </c>
      <c r="H19">
        <v>127.642</v>
      </c>
      <c r="I19">
        <v>36.765000000000001</v>
      </c>
      <c r="J19">
        <v>0</v>
      </c>
      <c r="K19">
        <v>229.583</v>
      </c>
      <c r="L19">
        <v>0</v>
      </c>
      <c r="M19">
        <v>52.573</v>
      </c>
      <c r="N19">
        <v>0</v>
      </c>
      <c r="O19">
        <v>0.97399999999999998</v>
      </c>
      <c r="P19">
        <v>0</v>
      </c>
      <c r="Q19">
        <v>82.492999999999995</v>
      </c>
      <c r="R19">
        <v>36.5</v>
      </c>
      <c r="S19">
        <v>32.700000000000003</v>
      </c>
    </row>
    <row r="20" spans="1:19" x14ac:dyDescent="0.3">
      <c r="A20" t="s">
        <v>824</v>
      </c>
      <c r="B20">
        <v>162.94999999999999</v>
      </c>
      <c r="C20">
        <v>69.257999999999996</v>
      </c>
      <c r="D20">
        <v>46.521000000000001</v>
      </c>
      <c r="E20">
        <v>0.37</v>
      </c>
      <c r="F20">
        <v>79.132999999999996</v>
      </c>
      <c r="G20">
        <v>5.1440000000000001</v>
      </c>
      <c r="H20">
        <v>127.843</v>
      </c>
      <c r="I20">
        <v>36.404000000000003</v>
      </c>
      <c r="J20">
        <v>1E-3</v>
      </c>
      <c r="K20">
        <v>229.714</v>
      </c>
      <c r="L20">
        <v>0</v>
      </c>
      <c r="M20">
        <v>52.665999999999997</v>
      </c>
      <c r="N20">
        <v>0</v>
      </c>
      <c r="O20">
        <v>1.004</v>
      </c>
      <c r="P20">
        <v>0</v>
      </c>
      <c r="Q20">
        <v>82.54</v>
      </c>
      <c r="R20">
        <v>36.6</v>
      </c>
      <c r="S20">
        <v>32.700000000000003</v>
      </c>
    </row>
    <row r="21" spans="1:19" x14ac:dyDescent="0.3">
      <c r="A21" t="s">
        <v>825</v>
      </c>
      <c r="B21">
        <v>162.869</v>
      </c>
      <c r="C21">
        <v>69.234999999999999</v>
      </c>
      <c r="D21">
        <v>46.567</v>
      </c>
      <c r="E21">
        <v>0.39800000000000002</v>
      </c>
      <c r="F21">
        <v>79.438999999999993</v>
      </c>
      <c r="G21">
        <v>5.1479999999999997</v>
      </c>
      <c r="H21">
        <v>127.92100000000001</v>
      </c>
      <c r="I21">
        <v>36.527000000000001</v>
      </c>
      <c r="J21">
        <v>1E-3</v>
      </c>
      <c r="K21">
        <v>229.48500000000001</v>
      </c>
      <c r="L21">
        <v>0</v>
      </c>
      <c r="M21">
        <v>52.454999999999998</v>
      </c>
      <c r="N21">
        <v>0</v>
      </c>
      <c r="O21">
        <v>0.99099999999999999</v>
      </c>
      <c r="P21">
        <v>0</v>
      </c>
      <c r="Q21">
        <v>82.665000000000006</v>
      </c>
      <c r="R21">
        <v>36.5</v>
      </c>
      <c r="S21">
        <v>32.700000000000003</v>
      </c>
    </row>
    <row r="22" spans="1:19" x14ac:dyDescent="0.3">
      <c r="A22" t="s">
        <v>826</v>
      </c>
      <c r="B22">
        <v>163.09100000000001</v>
      </c>
      <c r="C22">
        <v>69.209000000000003</v>
      </c>
      <c r="D22">
        <v>46.530999999999999</v>
      </c>
      <c r="E22">
        <v>0.42299999999999999</v>
      </c>
      <c r="F22">
        <v>79.432000000000002</v>
      </c>
      <c r="G22">
        <v>5.0179999999999998</v>
      </c>
      <c r="H22">
        <v>127.82</v>
      </c>
      <c r="I22">
        <v>36.453000000000003</v>
      </c>
      <c r="J22">
        <v>0</v>
      </c>
      <c r="K22">
        <v>229.74700000000001</v>
      </c>
      <c r="L22">
        <v>0</v>
      </c>
      <c r="M22">
        <v>52.518000000000001</v>
      </c>
      <c r="N22">
        <v>0</v>
      </c>
      <c r="O22">
        <v>0.98399999999999999</v>
      </c>
      <c r="P22">
        <v>0</v>
      </c>
      <c r="Q22">
        <v>82.733999999999995</v>
      </c>
      <c r="R22">
        <v>36.4</v>
      </c>
      <c r="S22">
        <v>32.700000000000003</v>
      </c>
    </row>
    <row r="23" spans="1:19" x14ac:dyDescent="0.3">
      <c r="A23" t="s">
        <v>827</v>
      </c>
      <c r="B23">
        <v>163.37700000000001</v>
      </c>
      <c r="C23">
        <v>69.242000000000004</v>
      </c>
      <c r="D23">
        <v>46.533999999999999</v>
      </c>
      <c r="E23">
        <v>0.39800000000000002</v>
      </c>
      <c r="F23">
        <v>78.873999999999995</v>
      </c>
      <c r="G23">
        <v>4.7699999999999996</v>
      </c>
      <c r="H23">
        <v>127.953</v>
      </c>
      <c r="I23">
        <v>36.256</v>
      </c>
      <c r="J23">
        <v>1E-3</v>
      </c>
      <c r="K23">
        <v>229.517</v>
      </c>
      <c r="L23">
        <v>0</v>
      </c>
      <c r="M23">
        <v>52.594999999999999</v>
      </c>
      <c r="N23">
        <v>0</v>
      </c>
      <c r="O23">
        <v>0.98699999999999999</v>
      </c>
      <c r="P23">
        <v>0</v>
      </c>
      <c r="Q23">
        <v>82.978999999999999</v>
      </c>
      <c r="R23">
        <v>36.200000000000003</v>
      </c>
      <c r="S23">
        <v>32.700000000000003</v>
      </c>
    </row>
    <row r="24" spans="1:19" x14ac:dyDescent="0.3">
      <c r="A24" t="s">
        <v>828</v>
      </c>
      <c r="B24">
        <v>163.28299999999999</v>
      </c>
      <c r="C24">
        <v>69.204999999999998</v>
      </c>
      <c r="D24">
        <v>46.593000000000004</v>
      </c>
      <c r="E24">
        <v>0.38700000000000001</v>
      </c>
      <c r="F24">
        <v>79.935000000000002</v>
      </c>
      <c r="G24">
        <v>4.883</v>
      </c>
      <c r="H24">
        <v>128.185</v>
      </c>
      <c r="I24">
        <v>36.555999999999997</v>
      </c>
      <c r="J24">
        <v>1E-3</v>
      </c>
      <c r="K24">
        <v>229.73099999999999</v>
      </c>
      <c r="L24">
        <v>6.0000000000000001E-3</v>
      </c>
      <c r="M24">
        <v>52.497</v>
      </c>
      <c r="N24">
        <v>0</v>
      </c>
      <c r="O24">
        <v>0.96899999999999997</v>
      </c>
      <c r="P24">
        <v>0</v>
      </c>
      <c r="Q24">
        <v>82.891000000000005</v>
      </c>
      <c r="R24">
        <v>36.299999999999997</v>
      </c>
      <c r="S24">
        <v>32.700000000000003</v>
      </c>
    </row>
    <row r="25" spans="1:19" ht="15" thickBot="1" x14ac:dyDescent="0.35">
      <c r="A25" t="s">
        <v>829</v>
      </c>
      <c r="B25">
        <v>163.22499999999999</v>
      </c>
      <c r="C25">
        <v>69.153000000000006</v>
      </c>
      <c r="D25">
        <v>46.436</v>
      </c>
      <c r="E25">
        <v>0.40600000000000003</v>
      </c>
      <c r="F25">
        <v>79.001999999999995</v>
      </c>
      <c r="G25">
        <v>5.2309999999999999</v>
      </c>
      <c r="H25">
        <v>127.77500000000001</v>
      </c>
      <c r="I25">
        <v>36.082999999999998</v>
      </c>
      <c r="J25">
        <v>0</v>
      </c>
      <c r="K25">
        <v>229.46799999999999</v>
      </c>
      <c r="L25">
        <v>4.0000000000000001E-3</v>
      </c>
      <c r="M25">
        <v>52.542000000000002</v>
      </c>
      <c r="N25">
        <v>0</v>
      </c>
      <c r="O25">
        <v>0.997</v>
      </c>
      <c r="P25">
        <v>0</v>
      </c>
      <c r="Q25">
        <v>82.956999999999994</v>
      </c>
      <c r="R25">
        <v>36.200000000000003</v>
      </c>
      <c r="S25">
        <v>32.700000000000003</v>
      </c>
    </row>
    <row r="26" spans="1:19" ht="15" thickBot="1" x14ac:dyDescent="0.35">
      <c r="A26" t="s">
        <v>30</v>
      </c>
      <c r="B26" s="1">
        <f t="shared" ref="B26:S26" si="0">AVERAGE(B6:B25)</f>
        <v>163.33134999999999</v>
      </c>
      <c r="C26" s="1">
        <f t="shared" si="0"/>
        <v>69.2089</v>
      </c>
      <c r="D26" s="1">
        <f t="shared" si="0"/>
        <v>46.943449999999991</v>
      </c>
      <c r="E26" s="10">
        <f t="shared" si="0"/>
        <v>0.36980000000000002</v>
      </c>
      <c r="F26" s="1">
        <f t="shared" si="0"/>
        <v>79.148949999999999</v>
      </c>
      <c r="G26" s="1">
        <f t="shared" si="0"/>
        <v>5.0665999999999993</v>
      </c>
      <c r="H26" s="10">
        <f t="shared" si="0"/>
        <v>127.24335000000001</v>
      </c>
      <c r="I26" s="1">
        <f t="shared" si="0"/>
        <v>36.7196</v>
      </c>
      <c r="J26" s="8">
        <f t="shared" si="0"/>
        <v>6.5000000000000019E-4</v>
      </c>
      <c r="K26" s="1">
        <f t="shared" si="0"/>
        <v>229.6241</v>
      </c>
      <c r="L26" s="1">
        <f t="shared" si="0"/>
        <v>1.2149999999999999E-2</v>
      </c>
      <c r="M26" s="1">
        <f t="shared" si="0"/>
        <v>52.627049999999997</v>
      </c>
      <c r="N26" s="1">
        <f t="shared" si="0"/>
        <v>0</v>
      </c>
      <c r="O26" s="1">
        <f t="shared" si="0"/>
        <v>0.98119999999999996</v>
      </c>
      <c r="P26" s="1">
        <f t="shared" si="0"/>
        <v>0</v>
      </c>
      <c r="Q26" s="1">
        <f t="shared" si="0"/>
        <v>81.53564999999999</v>
      </c>
      <c r="R26" s="1">
        <f t="shared" si="0"/>
        <v>37.215000000000003</v>
      </c>
      <c r="S26" s="1">
        <f t="shared" si="0"/>
        <v>32.700000000000003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09BA-06A3-4494-B37C-7C07D52DE998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0.65752314814814816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2.0815502547204914</v>
      </c>
      <c r="M2" s="8">
        <f>100*(R26/(R26+Q26))</f>
        <v>32.135685790568168</v>
      </c>
      <c r="O2" s="9">
        <f>100*((E26*C2)/((E26*C2)+(K2*E2)))</f>
        <v>13.577130264757423</v>
      </c>
      <c r="Q2" s="10">
        <f>100*J26*(1/(((C2/3.6)*E26)+((E2/3.6)*K2)))</f>
        <v>6.024375130473052</v>
      </c>
      <c r="S2" s="6">
        <v>3.54</v>
      </c>
      <c r="U2" s="10">
        <f>100*((((G26*0.001*60)*(C26-D26)*(S2/3.6)))/(((C2/3.6)*E26)+((E2/3.6)*K2)))</f>
        <v>22.135230960914754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830</v>
      </c>
      <c r="B6">
        <v>190.465</v>
      </c>
      <c r="C6">
        <v>69.465000000000003</v>
      </c>
      <c r="D6">
        <v>44.649000000000001</v>
      </c>
      <c r="E6">
        <v>0.40300000000000002</v>
      </c>
      <c r="F6">
        <v>78.637</v>
      </c>
      <c r="G6">
        <v>4.99</v>
      </c>
      <c r="H6">
        <v>150.184</v>
      </c>
      <c r="I6">
        <v>34.128999999999998</v>
      </c>
      <c r="J6">
        <v>2.0150000000000001</v>
      </c>
      <c r="K6">
        <v>229.583</v>
      </c>
      <c r="L6">
        <v>2.798</v>
      </c>
      <c r="M6">
        <v>52.725000000000001</v>
      </c>
      <c r="N6">
        <v>2.9580000000000002</v>
      </c>
      <c r="O6">
        <v>1.0209999999999999</v>
      </c>
      <c r="P6">
        <v>0</v>
      </c>
      <c r="Q6">
        <v>92.617000000000004</v>
      </c>
      <c r="R6">
        <v>44.1</v>
      </c>
      <c r="S6">
        <v>42</v>
      </c>
    </row>
    <row r="7" spans="1:21" x14ac:dyDescent="0.3">
      <c r="A7" t="s">
        <v>831</v>
      </c>
      <c r="B7">
        <v>191.089</v>
      </c>
      <c r="C7">
        <v>69.451999999999998</v>
      </c>
      <c r="D7">
        <v>44.664999999999999</v>
      </c>
      <c r="E7">
        <v>0.39700000000000002</v>
      </c>
      <c r="F7">
        <v>79.991</v>
      </c>
      <c r="G7">
        <v>4.4740000000000002</v>
      </c>
      <c r="H7">
        <v>150.62</v>
      </c>
      <c r="I7">
        <v>34.572000000000003</v>
      </c>
      <c r="J7">
        <v>2.016</v>
      </c>
      <c r="K7">
        <v>231.39</v>
      </c>
      <c r="L7">
        <v>3.0110000000000001</v>
      </c>
      <c r="M7">
        <v>52.491</v>
      </c>
      <c r="N7">
        <v>2.9660000000000002</v>
      </c>
      <c r="O7">
        <v>1.036</v>
      </c>
      <c r="P7">
        <v>0</v>
      </c>
      <c r="Q7">
        <v>92.668999999999997</v>
      </c>
      <c r="R7">
        <v>44.1</v>
      </c>
      <c r="S7">
        <v>42</v>
      </c>
    </row>
    <row r="8" spans="1:21" x14ac:dyDescent="0.3">
      <c r="A8" t="s">
        <v>832</v>
      </c>
      <c r="B8">
        <v>190.46299999999999</v>
      </c>
      <c r="C8">
        <v>69.527000000000001</v>
      </c>
      <c r="D8">
        <v>44.731000000000002</v>
      </c>
      <c r="E8">
        <v>0.39300000000000002</v>
      </c>
      <c r="F8">
        <v>79.721000000000004</v>
      </c>
      <c r="G8">
        <v>4.8310000000000004</v>
      </c>
      <c r="H8">
        <v>150.572</v>
      </c>
      <c r="I8">
        <v>34.177999999999997</v>
      </c>
      <c r="J8">
        <v>2.0190000000000001</v>
      </c>
      <c r="K8">
        <v>229.94399999999999</v>
      </c>
      <c r="L8">
        <v>3.0049999999999999</v>
      </c>
      <c r="M8">
        <v>52.631</v>
      </c>
      <c r="N8">
        <v>2.964</v>
      </c>
      <c r="O8">
        <v>0.98</v>
      </c>
      <c r="P8">
        <v>0</v>
      </c>
      <c r="Q8">
        <v>92.838999999999999</v>
      </c>
      <c r="R8">
        <v>44.1</v>
      </c>
      <c r="S8">
        <v>42</v>
      </c>
    </row>
    <row r="9" spans="1:21" x14ac:dyDescent="0.3">
      <c r="A9" t="s">
        <v>833</v>
      </c>
      <c r="B9">
        <v>190.41399999999999</v>
      </c>
      <c r="C9">
        <v>69.501000000000005</v>
      </c>
      <c r="D9">
        <v>44.795999999999999</v>
      </c>
      <c r="E9">
        <v>0.36399999999999999</v>
      </c>
      <c r="F9">
        <v>79.162999999999997</v>
      </c>
      <c r="G9">
        <v>5.359</v>
      </c>
      <c r="H9">
        <v>150.54300000000001</v>
      </c>
      <c r="I9">
        <v>34.067</v>
      </c>
      <c r="J9">
        <v>2.0169999999999999</v>
      </c>
      <c r="K9">
        <v>229.91200000000001</v>
      </c>
      <c r="L9">
        <v>2.8079999999999998</v>
      </c>
      <c r="M9">
        <v>52.591000000000001</v>
      </c>
      <c r="N9">
        <v>2.9630000000000001</v>
      </c>
      <c r="O9">
        <v>1.0269999999999999</v>
      </c>
      <c r="P9">
        <v>0</v>
      </c>
      <c r="Q9">
        <v>92.849000000000004</v>
      </c>
      <c r="R9">
        <v>44.1</v>
      </c>
      <c r="S9">
        <v>42</v>
      </c>
    </row>
    <row r="10" spans="1:21" x14ac:dyDescent="0.3">
      <c r="A10" t="s">
        <v>834</v>
      </c>
      <c r="B10">
        <v>190.679</v>
      </c>
      <c r="C10">
        <v>69.457999999999998</v>
      </c>
      <c r="D10">
        <v>44.901000000000003</v>
      </c>
      <c r="E10">
        <v>0.37</v>
      </c>
      <c r="F10">
        <v>78.926000000000002</v>
      </c>
      <c r="G10">
        <v>5.0049999999999999</v>
      </c>
      <c r="H10">
        <v>150.95099999999999</v>
      </c>
      <c r="I10">
        <v>34.436999999999998</v>
      </c>
      <c r="J10">
        <v>2.0190000000000001</v>
      </c>
      <c r="K10">
        <v>230.059</v>
      </c>
      <c r="L10">
        <v>2.9950000000000001</v>
      </c>
      <c r="M10">
        <v>52.665999999999997</v>
      </c>
      <c r="N10">
        <v>2.9609999999999999</v>
      </c>
      <c r="O10">
        <v>1.0269999999999999</v>
      </c>
      <c r="P10">
        <v>0</v>
      </c>
      <c r="Q10">
        <v>92.893000000000001</v>
      </c>
      <c r="R10">
        <v>44.1</v>
      </c>
      <c r="S10">
        <v>42</v>
      </c>
    </row>
    <row r="11" spans="1:21" x14ac:dyDescent="0.3">
      <c r="A11" t="s">
        <v>835</v>
      </c>
      <c r="B11">
        <v>190.45500000000001</v>
      </c>
      <c r="C11">
        <v>69.451999999999998</v>
      </c>
      <c r="D11">
        <v>44.987000000000002</v>
      </c>
      <c r="E11">
        <v>0.374</v>
      </c>
      <c r="F11">
        <v>78.634</v>
      </c>
      <c r="G11">
        <v>5.0979999999999999</v>
      </c>
      <c r="H11">
        <v>150.875</v>
      </c>
      <c r="I11">
        <v>33.972999999999999</v>
      </c>
      <c r="J11">
        <v>2.0150000000000001</v>
      </c>
      <c r="K11">
        <v>229.846</v>
      </c>
      <c r="L11">
        <v>2.976</v>
      </c>
      <c r="M11">
        <v>52.5</v>
      </c>
      <c r="N11">
        <v>2.96</v>
      </c>
      <c r="O11">
        <v>1.038</v>
      </c>
      <c r="P11">
        <v>0</v>
      </c>
      <c r="Q11">
        <v>92.831000000000003</v>
      </c>
      <c r="R11">
        <v>44.1</v>
      </c>
      <c r="S11">
        <v>42</v>
      </c>
    </row>
    <row r="12" spans="1:21" x14ac:dyDescent="0.3">
      <c r="A12" t="s">
        <v>836</v>
      </c>
      <c r="B12">
        <v>190.31899999999999</v>
      </c>
      <c r="C12">
        <v>69.507999999999996</v>
      </c>
      <c r="D12">
        <v>45.055999999999997</v>
      </c>
      <c r="E12">
        <v>0.373</v>
      </c>
      <c r="F12">
        <v>79.488</v>
      </c>
      <c r="G12">
        <v>5.1589999999999998</v>
      </c>
      <c r="H12">
        <v>151.01300000000001</v>
      </c>
      <c r="I12">
        <v>34.334000000000003</v>
      </c>
      <c r="J12">
        <v>2.0190000000000001</v>
      </c>
      <c r="K12">
        <v>230.07599999999999</v>
      </c>
      <c r="L12">
        <v>2.94</v>
      </c>
      <c r="M12">
        <v>52.564</v>
      </c>
      <c r="N12">
        <v>2.9649999999999999</v>
      </c>
      <c r="O12">
        <v>1.04</v>
      </c>
      <c r="P12">
        <v>0</v>
      </c>
      <c r="Q12">
        <v>92.795000000000002</v>
      </c>
      <c r="R12">
        <v>44.1</v>
      </c>
      <c r="S12">
        <v>42</v>
      </c>
    </row>
    <row r="13" spans="1:21" x14ac:dyDescent="0.3">
      <c r="A13" t="s">
        <v>837</v>
      </c>
      <c r="B13">
        <v>190.38800000000001</v>
      </c>
      <c r="C13">
        <v>69.501000000000005</v>
      </c>
      <c r="D13">
        <v>45.026000000000003</v>
      </c>
      <c r="E13">
        <v>0.38100000000000001</v>
      </c>
      <c r="F13">
        <v>78.733000000000004</v>
      </c>
      <c r="G13">
        <v>4.9950000000000001</v>
      </c>
      <c r="H13">
        <v>150.92500000000001</v>
      </c>
      <c r="I13">
        <v>34.408000000000001</v>
      </c>
      <c r="J13">
        <v>2.016</v>
      </c>
      <c r="K13">
        <v>229.94399999999999</v>
      </c>
      <c r="L13">
        <v>2.8730000000000002</v>
      </c>
      <c r="M13">
        <v>52.503999999999998</v>
      </c>
      <c r="N13">
        <v>2.9660000000000002</v>
      </c>
      <c r="O13">
        <v>1.032</v>
      </c>
      <c r="P13">
        <v>0</v>
      </c>
      <c r="Q13">
        <v>92.914000000000001</v>
      </c>
      <c r="R13">
        <v>44</v>
      </c>
      <c r="S13">
        <v>42</v>
      </c>
    </row>
    <row r="14" spans="1:21" x14ac:dyDescent="0.3">
      <c r="A14" t="s">
        <v>838</v>
      </c>
      <c r="B14">
        <v>190.976</v>
      </c>
      <c r="C14">
        <v>69.462000000000003</v>
      </c>
      <c r="D14">
        <v>44.859000000000002</v>
      </c>
      <c r="E14">
        <v>0.38800000000000001</v>
      </c>
      <c r="F14">
        <v>78.631</v>
      </c>
      <c r="G14">
        <v>5.2640000000000002</v>
      </c>
      <c r="H14">
        <v>151.09100000000001</v>
      </c>
      <c r="I14">
        <v>34.646000000000001</v>
      </c>
      <c r="J14">
        <v>2.0179999999999998</v>
      </c>
      <c r="K14">
        <v>229.76400000000001</v>
      </c>
      <c r="L14">
        <v>2.891</v>
      </c>
      <c r="M14">
        <v>52.41</v>
      </c>
      <c r="N14">
        <v>2.9620000000000002</v>
      </c>
      <c r="O14">
        <v>1.034</v>
      </c>
      <c r="P14">
        <v>0</v>
      </c>
      <c r="Q14">
        <v>93.009</v>
      </c>
      <c r="R14">
        <v>44.1</v>
      </c>
      <c r="S14">
        <v>42</v>
      </c>
    </row>
    <row r="15" spans="1:21" x14ac:dyDescent="0.3">
      <c r="A15" t="s">
        <v>839</v>
      </c>
      <c r="B15">
        <v>190.76300000000001</v>
      </c>
      <c r="C15">
        <v>69.491</v>
      </c>
      <c r="D15">
        <v>44.901000000000003</v>
      </c>
      <c r="E15">
        <v>0.36</v>
      </c>
      <c r="F15">
        <v>79.454999999999998</v>
      </c>
      <c r="G15">
        <v>5.3630000000000004</v>
      </c>
      <c r="H15">
        <v>151.34899999999999</v>
      </c>
      <c r="I15">
        <v>34.125</v>
      </c>
      <c r="J15">
        <v>2.016</v>
      </c>
      <c r="K15">
        <v>229.94399999999999</v>
      </c>
      <c r="L15">
        <v>2.899</v>
      </c>
      <c r="M15">
        <v>52.609000000000002</v>
      </c>
      <c r="N15">
        <v>2.9630000000000001</v>
      </c>
      <c r="O15">
        <v>1.0209999999999999</v>
      </c>
      <c r="P15">
        <v>0</v>
      </c>
      <c r="Q15">
        <v>93.123999999999995</v>
      </c>
      <c r="R15">
        <v>44.1</v>
      </c>
      <c r="S15">
        <v>42</v>
      </c>
    </row>
    <row r="16" spans="1:21" x14ac:dyDescent="0.3">
      <c r="A16" t="s">
        <v>840</v>
      </c>
      <c r="B16">
        <v>190.80799999999999</v>
      </c>
      <c r="C16">
        <v>69.56</v>
      </c>
      <c r="D16">
        <v>44.957000000000001</v>
      </c>
      <c r="E16">
        <v>0.38500000000000001</v>
      </c>
      <c r="F16">
        <v>80.05</v>
      </c>
      <c r="G16">
        <v>5.5140000000000002</v>
      </c>
      <c r="H16">
        <v>151.22499999999999</v>
      </c>
      <c r="I16">
        <v>34.301000000000002</v>
      </c>
      <c r="J16">
        <v>2.0179999999999998</v>
      </c>
      <c r="K16">
        <v>229.87899999999999</v>
      </c>
      <c r="L16">
        <v>2.899</v>
      </c>
      <c r="M16">
        <v>52.531999999999996</v>
      </c>
      <c r="N16">
        <v>2.9590000000000001</v>
      </c>
      <c r="O16">
        <v>1.0329999999999999</v>
      </c>
      <c r="P16">
        <v>0</v>
      </c>
      <c r="Q16">
        <v>93.076999999999998</v>
      </c>
      <c r="R16">
        <v>44.1</v>
      </c>
      <c r="S16">
        <v>42</v>
      </c>
    </row>
    <row r="17" spans="1:19" x14ac:dyDescent="0.3">
      <c r="A17" t="s">
        <v>841</v>
      </c>
      <c r="B17">
        <v>190.596</v>
      </c>
      <c r="C17">
        <v>69.465000000000003</v>
      </c>
      <c r="D17">
        <v>44.908000000000001</v>
      </c>
      <c r="E17">
        <v>0.38100000000000001</v>
      </c>
      <c r="F17">
        <v>79.599999999999994</v>
      </c>
      <c r="G17">
        <v>4.9290000000000003</v>
      </c>
      <c r="H17">
        <v>151.24600000000001</v>
      </c>
      <c r="I17">
        <v>33.820999999999998</v>
      </c>
      <c r="J17">
        <v>2.016</v>
      </c>
      <c r="K17">
        <v>229.96100000000001</v>
      </c>
      <c r="L17">
        <v>2.8959999999999999</v>
      </c>
      <c r="M17">
        <v>52.597000000000001</v>
      </c>
      <c r="N17">
        <v>2.9590000000000001</v>
      </c>
      <c r="O17">
        <v>1.032</v>
      </c>
      <c r="P17">
        <v>0</v>
      </c>
      <c r="Q17">
        <v>92.944000000000003</v>
      </c>
      <c r="R17">
        <v>44.1</v>
      </c>
      <c r="S17">
        <v>42</v>
      </c>
    </row>
    <row r="18" spans="1:19" x14ac:dyDescent="0.3">
      <c r="A18" t="s">
        <v>842</v>
      </c>
      <c r="B18">
        <v>190.47800000000001</v>
      </c>
      <c r="C18">
        <v>69.454999999999998</v>
      </c>
      <c r="D18">
        <v>44.859000000000002</v>
      </c>
      <c r="E18">
        <v>0.38300000000000001</v>
      </c>
      <c r="F18">
        <v>80.013999999999996</v>
      </c>
      <c r="G18">
        <v>5.1100000000000003</v>
      </c>
      <c r="H18">
        <v>151.12799999999999</v>
      </c>
      <c r="I18">
        <v>34.137</v>
      </c>
      <c r="J18">
        <v>2.0190000000000001</v>
      </c>
      <c r="K18">
        <v>229.91200000000001</v>
      </c>
      <c r="L18">
        <v>2.899</v>
      </c>
      <c r="M18">
        <v>52.579000000000001</v>
      </c>
      <c r="N18">
        <v>2.9590000000000001</v>
      </c>
      <c r="O18">
        <v>1.0389999999999999</v>
      </c>
      <c r="P18">
        <v>0</v>
      </c>
      <c r="Q18">
        <v>92.781999999999996</v>
      </c>
      <c r="R18">
        <v>44.1</v>
      </c>
      <c r="S18">
        <v>42</v>
      </c>
    </row>
    <row r="19" spans="1:19" x14ac:dyDescent="0.3">
      <c r="A19" t="s">
        <v>843</v>
      </c>
      <c r="B19">
        <v>190.54400000000001</v>
      </c>
      <c r="C19">
        <v>69.518000000000001</v>
      </c>
      <c r="D19">
        <v>44.862000000000002</v>
      </c>
      <c r="E19">
        <v>0.38700000000000001</v>
      </c>
      <c r="F19">
        <v>80.331999999999994</v>
      </c>
      <c r="G19">
        <v>5.1749999999999998</v>
      </c>
      <c r="H19">
        <v>151.11500000000001</v>
      </c>
      <c r="I19">
        <v>33.832999999999998</v>
      </c>
      <c r="J19">
        <v>2.0129999999999999</v>
      </c>
      <c r="K19">
        <v>229.66499999999999</v>
      </c>
      <c r="L19">
        <v>2.8940000000000001</v>
      </c>
      <c r="M19">
        <v>52.436999999999998</v>
      </c>
      <c r="N19">
        <v>2.9609999999999999</v>
      </c>
      <c r="O19">
        <v>1.0369999999999999</v>
      </c>
      <c r="P19">
        <v>0</v>
      </c>
      <c r="Q19">
        <v>92.765000000000001</v>
      </c>
      <c r="R19">
        <v>44</v>
      </c>
      <c r="S19">
        <v>42</v>
      </c>
    </row>
    <row r="20" spans="1:19" x14ac:dyDescent="0.3">
      <c r="A20" t="s">
        <v>844</v>
      </c>
      <c r="B20">
        <v>190.47900000000001</v>
      </c>
      <c r="C20">
        <v>69.498000000000005</v>
      </c>
      <c r="D20">
        <v>44.97</v>
      </c>
      <c r="E20">
        <v>0.38</v>
      </c>
      <c r="F20">
        <v>79.694999999999993</v>
      </c>
      <c r="G20">
        <v>5.31</v>
      </c>
      <c r="H20">
        <v>151.46</v>
      </c>
      <c r="I20">
        <v>34.244</v>
      </c>
      <c r="J20">
        <v>2.016</v>
      </c>
      <c r="K20">
        <v>229.91200000000001</v>
      </c>
      <c r="L20">
        <v>2.8969999999999998</v>
      </c>
      <c r="M20">
        <v>52.521999999999998</v>
      </c>
      <c r="N20">
        <v>2.964</v>
      </c>
      <c r="O20">
        <v>1.0429999999999999</v>
      </c>
      <c r="P20">
        <v>0</v>
      </c>
      <c r="Q20">
        <v>93.018000000000001</v>
      </c>
      <c r="R20">
        <v>44.1</v>
      </c>
      <c r="S20">
        <v>42</v>
      </c>
    </row>
    <row r="21" spans="1:19" x14ac:dyDescent="0.3">
      <c r="A21" t="s">
        <v>845</v>
      </c>
      <c r="B21">
        <v>190.46600000000001</v>
      </c>
      <c r="C21">
        <v>69.55</v>
      </c>
      <c r="D21">
        <v>44.908000000000001</v>
      </c>
      <c r="E21">
        <v>0.35899999999999999</v>
      </c>
      <c r="F21">
        <v>78.414000000000001</v>
      </c>
      <c r="G21">
        <v>5.24</v>
      </c>
      <c r="H21">
        <v>151.416</v>
      </c>
      <c r="I21">
        <v>33.956000000000003</v>
      </c>
      <c r="J21">
        <v>2.0129999999999999</v>
      </c>
      <c r="K21">
        <v>229.649</v>
      </c>
      <c r="L21">
        <v>2.8759999999999999</v>
      </c>
      <c r="M21">
        <v>52.451000000000001</v>
      </c>
      <c r="N21">
        <v>2.9689999999999999</v>
      </c>
      <c r="O21">
        <v>1.036</v>
      </c>
      <c r="P21">
        <v>0</v>
      </c>
      <c r="Q21">
        <v>93.05</v>
      </c>
      <c r="R21">
        <v>44</v>
      </c>
      <c r="S21">
        <v>42</v>
      </c>
    </row>
    <row r="22" spans="1:19" x14ac:dyDescent="0.3">
      <c r="A22" t="s">
        <v>846</v>
      </c>
      <c r="B22">
        <v>190.66800000000001</v>
      </c>
      <c r="C22">
        <v>69.534000000000006</v>
      </c>
      <c r="D22">
        <v>44.851999999999997</v>
      </c>
      <c r="E22">
        <v>0.39300000000000002</v>
      </c>
      <c r="F22">
        <v>79.813000000000002</v>
      </c>
      <c r="G22">
        <v>5.3970000000000002</v>
      </c>
      <c r="H22">
        <v>151.60499999999999</v>
      </c>
      <c r="I22">
        <v>33.771000000000001</v>
      </c>
      <c r="J22">
        <v>2.0179999999999998</v>
      </c>
      <c r="K22">
        <v>229.87899999999999</v>
      </c>
      <c r="L22">
        <v>2.9</v>
      </c>
      <c r="M22">
        <v>52.631</v>
      </c>
      <c r="N22">
        <v>2.9569999999999999</v>
      </c>
      <c r="O22">
        <v>1.038</v>
      </c>
      <c r="P22">
        <v>0</v>
      </c>
      <c r="Q22">
        <v>93.244</v>
      </c>
      <c r="R22">
        <v>44</v>
      </c>
      <c r="S22">
        <v>42</v>
      </c>
    </row>
    <row r="23" spans="1:19" x14ac:dyDescent="0.3">
      <c r="A23" t="s">
        <v>847</v>
      </c>
      <c r="B23">
        <v>191.375</v>
      </c>
      <c r="C23">
        <v>69.619</v>
      </c>
      <c r="D23">
        <v>44.908000000000001</v>
      </c>
      <c r="E23">
        <v>0.41</v>
      </c>
      <c r="F23">
        <v>80.177999999999997</v>
      </c>
      <c r="G23">
        <v>5.0339999999999998</v>
      </c>
      <c r="H23">
        <v>151.78399999999999</v>
      </c>
      <c r="I23">
        <v>34.133000000000003</v>
      </c>
      <c r="J23">
        <v>2.0129999999999999</v>
      </c>
      <c r="K23">
        <v>229.56700000000001</v>
      </c>
      <c r="L23">
        <v>2.8929999999999998</v>
      </c>
      <c r="M23">
        <v>52.587000000000003</v>
      </c>
      <c r="N23">
        <v>2.9590000000000001</v>
      </c>
      <c r="O23">
        <v>1.0409999999999999</v>
      </c>
      <c r="P23">
        <v>0</v>
      </c>
      <c r="Q23">
        <v>93.462000000000003</v>
      </c>
      <c r="R23">
        <v>43.9</v>
      </c>
      <c r="S23">
        <v>42</v>
      </c>
    </row>
    <row r="24" spans="1:19" x14ac:dyDescent="0.3">
      <c r="A24" t="s">
        <v>848</v>
      </c>
      <c r="B24">
        <v>191.38399999999999</v>
      </c>
      <c r="C24">
        <v>69.543999999999997</v>
      </c>
      <c r="D24">
        <v>44.944000000000003</v>
      </c>
      <c r="E24">
        <v>0.376</v>
      </c>
      <c r="F24">
        <v>79.781000000000006</v>
      </c>
      <c r="G24">
        <v>4.7389999999999999</v>
      </c>
      <c r="H24">
        <v>151.77500000000001</v>
      </c>
      <c r="I24">
        <v>33.718000000000004</v>
      </c>
      <c r="J24">
        <v>2.0179999999999998</v>
      </c>
      <c r="K24">
        <v>230.059</v>
      </c>
      <c r="L24">
        <v>2.8980000000000001</v>
      </c>
      <c r="M24">
        <v>52.52</v>
      </c>
      <c r="N24">
        <v>2.9590000000000001</v>
      </c>
      <c r="O24">
        <v>1.034</v>
      </c>
      <c r="P24">
        <v>0</v>
      </c>
      <c r="Q24">
        <v>93.471999999999994</v>
      </c>
      <c r="R24">
        <v>43.8</v>
      </c>
      <c r="S24">
        <v>42</v>
      </c>
    </row>
    <row r="25" spans="1:19" ht="15" thickBot="1" x14ac:dyDescent="0.35">
      <c r="A25" t="s">
        <v>849</v>
      </c>
      <c r="B25">
        <v>191.03100000000001</v>
      </c>
      <c r="C25">
        <v>69.58</v>
      </c>
      <c r="D25">
        <v>44.845999999999997</v>
      </c>
      <c r="E25">
        <v>0.40600000000000003</v>
      </c>
      <c r="F25">
        <v>79.543999999999997</v>
      </c>
      <c r="G25">
        <v>4.9960000000000004</v>
      </c>
      <c r="H25">
        <v>151.9</v>
      </c>
      <c r="I25">
        <v>33.96</v>
      </c>
      <c r="J25">
        <v>2.016</v>
      </c>
      <c r="K25">
        <v>229.714</v>
      </c>
      <c r="L25">
        <v>2.8940000000000001</v>
      </c>
      <c r="M25">
        <v>52.465000000000003</v>
      </c>
      <c r="N25">
        <v>2.9569999999999999</v>
      </c>
      <c r="O25">
        <v>1.024</v>
      </c>
      <c r="P25">
        <v>0</v>
      </c>
      <c r="Q25">
        <v>93.513000000000005</v>
      </c>
      <c r="R25">
        <v>43.7</v>
      </c>
      <c r="S25">
        <v>42</v>
      </c>
    </row>
    <row r="26" spans="1:19" ht="15" thickBot="1" x14ac:dyDescent="0.35">
      <c r="A26" t="s">
        <v>30</v>
      </c>
      <c r="B26" s="1">
        <f t="shared" ref="B26:S26" si="0">AVERAGE(B6:B25)</f>
        <v>190.69199999999995</v>
      </c>
      <c r="C26" s="1">
        <f t="shared" si="0"/>
        <v>69.507000000000005</v>
      </c>
      <c r="D26" s="1">
        <f t="shared" si="0"/>
        <v>44.879249999999999</v>
      </c>
      <c r="E26" s="10">
        <f t="shared" si="0"/>
        <v>0.38314999999999999</v>
      </c>
      <c r="F26" s="1">
        <f t="shared" si="0"/>
        <v>79.44</v>
      </c>
      <c r="G26" s="1">
        <f t="shared" si="0"/>
        <v>5.0991000000000009</v>
      </c>
      <c r="H26" s="10">
        <f t="shared" si="0"/>
        <v>151.13884999999999</v>
      </c>
      <c r="I26" s="1">
        <f t="shared" si="0"/>
        <v>34.137150000000005</v>
      </c>
      <c r="J26" s="8">
        <f t="shared" si="0"/>
        <v>2.0164999999999997</v>
      </c>
      <c r="K26" s="1">
        <f t="shared" si="0"/>
        <v>229.93294999999995</v>
      </c>
      <c r="L26" s="1">
        <f t="shared" si="0"/>
        <v>2.9071000000000002</v>
      </c>
      <c r="M26" s="1">
        <f t="shared" si="0"/>
        <v>52.55060000000001</v>
      </c>
      <c r="N26" s="1">
        <f t="shared" si="0"/>
        <v>2.9615500000000008</v>
      </c>
      <c r="O26" s="1">
        <f t="shared" si="0"/>
        <v>1.0306500000000001</v>
      </c>
      <c r="P26" s="1">
        <f t="shared" si="0"/>
        <v>0</v>
      </c>
      <c r="Q26" s="1">
        <f t="shared" si="0"/>
        <v>92.993349999999992</v>
      </c>
      <c r="R26" s="1">
        <f t="shared" si="0"/>
        <v>44.035000000000011</v>
      </c>
      <c r="S26" s="1">
        <f t="shared" si="0"/>
        <v>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84DF-57F6-4BA3-8A45-B4B23D035B40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0.65812499999999996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2.3051572760727055</v>
      </c>
      <c r="M2" s="8">
        <f>100*(R26/(R26+Q26))</f>
        <v>33.867869607647378</v>
      </c>
      <c r="O2" s="9">
        <f>100*((E26*C2)/((E26*C2)+(K2*E2)))</f>
        <v>12.712424729096416</v>
      </c>
      <c r="Q2" s="10">
        <f>100*J26*(1/(((C2/3.6)*E26)+((E2/3.6)*K2)))</f>
        <v>11.343061234357386</v>
      </c>
      <c r="S2" s="6">
        <v>3.54</v>
      </c>
      <c r="U2" s="10">
        <f>100*((((G26*0.001*60)*(C26-D26)*(S2/3.6)))/(((C2/3.6)*E26)+((E2/3.6)*K2)))</f>
        <v>23.927046446939816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850</v>
      </c>
      <c r="B6">
        <v>224.04499999999999</v>
      </c>
      <c r="C6">
        <v>70.013999999999996</v>
      </c>
      <c r="D6">
        <v>45.45</v>
      </c>
      <c r="E6">
        <v>0.36299999999999999</v>
      </c>
      <c r="F6">
        <v>79.459000000000003</v>
      </c>
      <c r="G6">
        <v>6.0019999999999998</v>
      </c>
      <c r="H6">
        <v>158.19800000000001</v>
      </c>
      <c r="I6">
        <v>33.414000000000001</v>
      </c>
      <c r="J6">
        <v>4.1619999999999999</v>
      </c>
      <c r="K6">
        <v>229.89500000000001</v>
      </c>
      <c r="L6">
        <v>6.1109999999999998</v>
      </c>
      <c r="M6">
        <v>52.5</v>
      </c>
      <c r="N6">
        <v>5.9889999999999999</v>
      </c>
      <c r="O6">
        <v>1.05</v>
      </c>
      <c r="P6">
        <v>0</v>
      </c>
      <c r="Q6">
        <v>93.558000000000007</v>
      </c>
      <c r="R6">
        <v>48.1</v>
      </c>
      <c r="S6">
        <v>46</v>
      </c>
    </row>
    <row r="7" spans="1:21" x14ac:dyDescent="0.3">
      <c r="A7" t="s">
        <v>851</v>
      </c>
      <c r="B7">
        <v>224.37100000000001</v>
      </c>
      <c r="C7">
        <v>69.947999999999993</v>
      </c>
      <c r="D7">
        <v>45.398000000000003</v>
      </c>
      <c r="E7">
        <v>0.35399999999999998</v>
      </c>
      <c r="F7">
        <v>78.959000000000003</v>
      </c>
      <c r="G7">
        <v>5.97</v>
      </c>
      <c r="H7">
        <v>157.94999999999999</v>
      </c>
      <c r="I7">
        <v>32.978999999999999</v>
      </c>
      <c r="J7">
        <v>4.165</v>
      </c>
      <c r="K7">
        <v>229.82900000000001</v>
      </c>
      <c r="L7">
        <v>6.0510000000000002</v>
      </c>
      <c r="M7">
        <v>52.417999999999999</v>
      </c>
      <c r="N7">
        <v>5.9790000000000001</v>
      </c>
      <c r="O7">
        <v>1.0369999999999999</v>
      </c>
      <c r="P7">
        <v>0</v>
      </c>
      <c r="Q7">
        <v>93.665000000000006</v>
      </c>
      <c r="R7">
        <v>48.2</v>
      </c>
      <c r="S7">
        <v>46</v>
      </c>
    </row>
    <row r="8" spans="1:21" x14ac:dyDescent="0.3">
      <c r="A8" t="s">
        <v>852</v>
      </c>
      <c r="B8">
        <v>224.197</v>
      </c>
      <c r="C8">
        <v>69.980999999999995</v>
      </c>
      <c r="D8">
        <v>45.48</v>
      </c>
      <c r="E8">
        <v>0.35599999999999998</v>
      </c>
      <c r="F8">
        <v>81.183000000000007</v>
      </c>
      <c r="G8">
        <v>6.0949999999999998</v>
      </c>
      <c r="H8">
        <v>158.16800000000001</v>
      </c>
      <c r="I8">
        <v>33.286999999999999</v>
      </c>
      <c r="J8">
        <v>4.1609999999999996</v>
      </c>
      <c r="K8">
        <v>229.76400000000001</v>
      </c>
      <c r="L8">
        <v>6.032</v>
      </c>
      <c r="M8">
        <v>52.521999999999998</v>
      </c>
      <c r="N8">
        <v>5.99</v>
      </c>
      <c r="O8">
        <v>1.0449999999999999</v>
      </c>
      <c r="P8">
        <v>0</v>
      </c>
      <c r="Q8">
        <v>93.575999999999993</v>
      </c>
      <c r="R8">
        <v>48.3</v>
      </c>
      <c r="S8">
        <v>46</v>
      </c>
    </row>
    <row r="9" spans="1:21" x14ac:dyDescent="0.3">
      <c r="A9" t="s">
        <v>853</v>
      </c>
      <c r="B9">
        <v>224.11199999999999</v>
      </c>
      <c r="C9">
        <v>69.950999999999993</v>
      </c>
      <c r="D9">
        <v>45.683</v>
      </c>
      <c r="E9">
        <v>0.371</v>
      </c>
      <c r="F9">
        <v>80.397999999999996</v>
      </c>
      <c r="G9">
        <v>6.1970000000000001</v>
      </c>
      <c r="H9">
        <v>158.27000000000001</v>
      </c>
      <c r="I9">
        <v>33.372999999999998</v>
      </c>
      <c r="J9">
        <v>4.1660000000000004</v>
      </c>
      <c r="K9">
        <v>229.928</v>
      </c>
      <c r="L9">
        <v>6.0449999999999999</v>
      </c>
      <c r="M9">
        <v>52.475000000000001</v>
      </c>
      <c r="N9">
        <v>5.9889999999999999</v>
      </c>
      <c r="O9">
        <v>1.0580000000000001</v>
      </c>
      <c r="P9">
        <v>0</v>
      </c>
      <c r="Q9">
        <v>93.638000000000005</v>
      </c>
      <c r="R9">
        <v>48.3</v>
      </c>
      <c r="S9">
        <v>46</v>
      </c>
    </row>
    <row r="10" spans="1:21" x14ac:dyDescent="0.3">
      <c r="A10" t="s">
        <v>854</v>
      </c>
      <c r="B10">
        <v>224.02</v>
      </c>
      <c r="C10">
        <v>69.974000000000004</v>
      </c>
      <c r="D10">
        <v>45.860999999999997</v>
      </c>
      <c r="E10">
        <v>0.41399999999999998</v>
      </c>
      <c r="F10">
        <v>80.221000000000004</v>
      </c>
      <c r="G10">
        <v>6.1609999999999996</v>
      </c>
      <c r="H10">
        <v>158.04300000000001</v>
      </c>
      <c r="I10">
        <v>33.228999999999999</v>
      </c>
      <c r="J10">
        <v>4.1639999999999997</v>
      </c>
      <c r="K10">
        <v>229.96100000000001</v>
      </c>
      <c r="L10">
        <v>6.0449999999999999</v>
      </c>
      <c r="M10">
        <v>52.441000000000003</v>
      </c>
      <c r="N10">
        <v>5.9850000000000003</v>
      </c>
      <c r="O10">
        <v>1.0569999999999999</v>
      </c>
      <c r="P10">
        <v>0</v>
      </c>
      <c r="Q10">
        <v>93.673000000000002</v>
      </c>
      <c r="R10">
        <v>48.3</v>
      </c>
      <c r="S10">
        <v>46</v>
      </c>
    </row>
    <row r="11" spans="1:21" x14ac:dyDescent="0.3">
      <c r="A11" t="s">
        <v>855</v>
      </c>
      <c r="B11">
        <v>223.81100000000001</v>
      </c>
      <c r="C11">
        <v>70.016999999999996</v>
      </c>
      <c r="D11">
        <v>45.906999999999996</v>
      </c>
      <c r="E11">
        <v>0.45500000000000002</v>
      </c>
      <c r="F11">
        <v>79.771000000000001</v>
      </c>
      <c r="G11">
        <v>6.0789999999999997</v>
      </c>
      <c r="H11">
        <v>158.18899999999999</v>
      </c>
      <c r="I11">
        <v>32.994999999999997</v>
      </c>
      <c r="J11">
        <v>4.1639999999999997</v>
      </c>
      <c r="K11">
        <v>229.89500000000001</v>
      </c>
      <c r="L11">
        <v>6.0369999999999999</v>
      </c>
      <c r="M11">
        <v>52.514000000000003</v>
      </c>
      <c r="N11">
        <v>5.9859999999999998</v>
      </c>
      <c r="O11">
        <v>1.0369999999999999</v>
      </c>
      <c r="P11">
        <v>0</v>
      </c>
      <c r="Q11">
        <v>93.760999999999996</v>
      </c>
      <c r="R11">
        <v>48.3</v>
      </c>
      <c r="S11">
        <v>46</v>
      </c>
    </row>
    <row r="12" spans="1:21" x14ac:dyDescent="0.3">
      <c r="A12" t="s">
        <v>856</v>
      </c>
      <c r="B12">
        <v>223.845</v>
      </c>
      <c r="C12">
        <v>69.960999999999999</v>
      </c>
      <c r="D12">
        <v>45.956000000000003</v>
      </c>
      <c r="E12">
        <v>0.48099999999999998</v>
      </c>
      <c r="F12">
        <v>78.894000000000005</v>
      </c>
      <c r="G12">
        <v>6.1230000000000002</v>
      </c>
      <c r="H12">
        <v>158.21600000000001</v>
      </c>
      <c r="I12">
        <v>33.246000000000002</v>
      </c>
      <c r="J12">
        <v>4.165</v>
      </c>
      <c r="K12">
        <v>230.07599999999999</v>
      </c>
      <c r="L12">
        <v>6.0469999999999997</v>
      </c>
      <c r="M12">
        <v>52.548000000000002</v>
      </c>
      <c r="N12">
        <v>5.9930000000000003</v>
      </c>
      <c r="O12">
        <v>1.0369999999999999</v>
      </c>
      <c r="P12">
        <v>0</v>
      </c>
      <c r="Q12">
        <v>93.68</v>
      </c>
      <c r="R12">
        <v>48.2</v>
      </c>
      <c r="S12">
        <v>46</v>
      </c>
    </row>
    <row r="13" spans="1:21" x14ac:dyDescent="0.3">
      <c r="A13" t="s">
        <v>857</v>
      </c>
      <c r="B13">
        <v>224.374</v>
      </c>
      <c r="C13">
        <v>69.963999999999999</v>
      </c>
      <c r="D13">
        <v>45.975999999999999</v>
      </c>
      <c r="E13">
        <v>0.49299999999999999</v>
      </c>
      <c r="F13">
        <v>80.891000000000005</v>
      </c>
      <c r="G13">
        <v>6.3940000000000001</v>
      </c>
      <c r="H13">
        <v>158.642</v>
      </c>
      <c r="I13">
        <v>33.057000000000002</v>
      </c>
      <c r="J13">
        <v>4.1680000000000001</v>
      </c>
      <c r="K13">
        <v>230.059</v>
      </c>
      <c r="L13">
        <v>6.0359999999999996</v>
      </c>
      <c r="M13">
        <v>52.564</v>
      </c>
      <c r="N13">
        <v>5.992</v>
      </c>
      <c r="O13">
        <v>1.0169999999999999</v>
      </c>
      <c r="P13">
        <v>0</v>
      </c>
      <c r="Q13">
        <v>93.908000000000001</v>
      </c>
      <c r="R13">
        <v>48.3</v>
      </c>
      <c r="S13">
        <v>46</v>
      </c>
    </row>
    <row r="14" spans="1:21" x14ac:dyDescent="0.3">
      <c r="A14" t="s">
        <v>858</v>
      </c>
      <c r="B14">
        <v>224.52</v>
      </c>
      <c r="C14">
        <v>70.010000000000005</v>
      </c>
      <c r="D14">
        <v>46.084000000000003</v>
      </c>
      <c r="E14">
        <v>0.47899999999999998</v>
      </c>
      <c r="F14">
        <v>81.233000000000004</v>
      </c>
      <c r="G14">
        <v>6.4340000000000002</v>
      </c>
      <c r="H14">
        <v>158.70599999999999</v>
      </c>
      <c r="I14">
        <v>33.015999999999998</v>
      </c>
      <c r="J14">
        <v>4.1619999999999999</v>
      </c>
      <c r="K14">
        <v>229.91200000000001</v>
      </c>
      <c r="L14">
        <v>6.04</v>
      </c>
      <c r="M14">
        <v>52.503999999999998</v>
      </c>
      <c r="N14">
        <v>5.9889999999999999</v>
      </c>
      <c r="O14">
        <v>1.05</v>
      </c>
      <c r="P14">
        <v>0</v>
      </c>
      <c r="Q14">
        <v>93.638000000000005</v>
      </c>
      <c r="R14">
        <v>48.3</v>
      </c>
      <c r="S14">
        <v>46</v>
      </c>
    </row>
    <row r="15" spans="1:21" x14ac:dyDescent="0.3">
      <c r="A15" t="s">
        <v>859</v>
      </c>
      <c r="B15">
        <v>224.03800000000001</v>
      </c>
      <c r="C15">
        <v>69.977000000000004</v>
      </c>
      <c r="D15">
        <v>46.13</v>
      </c>
      <c r="E15">
        <v>0.45200000000000001</v>
      </c>
      <c r="F15">
        <v>78.483000000000004</v>
      </c>
      <c r="G15">
        <v>5.6289999999999996</v>
      </c>
      <c r="H15">
        <v>158.74600000000001</v>
      </c>
      <c r="I15">
        <v>33.188000000000002</v>
      </c>
      <c r="J15">
        <v>4.165</v>
      </c>
      <c r="K15">
        <v>229.89500000000001</v>
      </c>
      <c r="L15">
        <v>6.0490000000000004</v>
      </c>
      <c r="M15">
        <v>52.497999999999998</v>
      </c>
      <c r="N15">
        <v>5.9859999999999998</v>
      </c>
      <c r="O15">
        <v>1.0429999999999999</v>
      </c>
      <c r="P15">
        <v>0</v>
      </c>
      <c r="Q15">
        <v>93.772000000000006</v>
      </c>
      <c r="R15">
        <v>48.2</v>
      </c>
      <c r="S15">
        <v>46</v>
      </c>
    </row>
    <row r="16" spans="1:21" x14ac:dyDescent="0.3">
      <c r="A16" t="s">
        <v>860</v>
      </c>
      <c r="B16">
        <v>224.434</v>
      </c>
      <c r="C16">
        <v>69.980999999999995</v>
      </c>
      <c r="D16">
        <v>46.192999999999998</v>
      </c>
      <c r="E16">
        <v>0.42199999999999999</v>
      </c>
      <c r="F16">
        <v>79.81</v>
      </c>
      <c r="G16">
        <v>6.1609999999999996</v>
      </c>
      <c r="H16">
        <v>158.93700000000001</v>
      </c>
      <c r="I16">
        <v>33.421999999999997</v>
      </c>
      <c r="J16">
        <v>4.1609999999999996</v>
      </c>
      <c r="K16">
        <v>229.928</v>
      </c>
      <c r="L16">
        <v>6.0380000000000003</v>
      </c>
      <c r="M16">
        <v>52.594999999999999</v>
      </c>
      <c r="N16">
        <v>5.9829999999999997</v>
      </c>
      <c r="O16">
        <v>1.0580000000000001</v>
      </c>
      <c r="P16">
        <v>0</v>
      </c>
      <c r="Q16">
        <v>94.236999999999995</v>
      </c>
      <c r="R16">
        <v>48.3</v>
      </c>
      <c r="S16">
        <v>46</v>
      </c>
    </row>
    <row r="17" spans="1:19" x14ac:dyDescent="0.3">
      <c r="A17" t="s">
        <v>861</v>
      </c>
      <c r="B17">
        <v>224.76400000000001</v>
      </c>
      <c r="C17">
        <v>70.013999999999996</v>
      </c>
      <c r="D17">
        <v>46.241999999999997</v>
      </c>
      <c r="E17">
        <v>0.36299999999999999</v>
      </c>
      <c r="F17">
        <v>80.697000000000003</v>
      </c>
      <c r="G17">
        <v>6.375</v>
      </c>
      <c r="H17">
        <v>159.12200000000001</v>
      </c>
      <c r="I17">
        <v>33.356999999999999</v>
      </c>
      <c r="J17">
        <v>4.1639999999999997</v>
      </c>
      <c r="K17">
        <v>229.89500000000001</v>
      </c>
      <c r="L17">
        <v>6.0460000000000003</v>
      </c>
      <c r="M17">
        <v>52.350999999999999</v>
      </c>
      <c r="N17">
        <v>5.984</v>
      </c>
      <c r="O17">
        <v>1.052</v>
      </c>
      <c r="P17">
        <v>0</v>
      </c>
      <c r="Q17">
        <v>94.272000000000006</v>
      </c>
      <c r="R17">
        <v>48.2</v>
      </c>
      <c r="S17">
        <v>46</v>
      </c>
    </row>
    <row r="18" spans="1:19" x14ac:dyDescent="0.3">
      <c r="A18" t="s">
        <v>862</v>
      </c>
      <c r="B18">
        <v>224.773</v>
      </c>
      <c r="C18">
        <v>69.974000000000004</v>
      </c>
      <c r="D18">
        <v>46.478000000000002</v>
      </c>
      <c r="E18">
        <v>0.34699999999999998</v>
      </c>
      <c r="F18">
        <v>79.557000000000002</v>
      </c>
      <c r="G18">
        <v>6.0030000000000001</v>
      </c>
      <c r="H18">
        <v>159.27099999999999</v>
      </c>
      <c r="I18">
        <v>33.183999999999997</v>
      </c>
      <c r="J18">
        <v>4.1580000000000004</v>
      </c>
      <c r="K18">
        <v>229.69800000000001</v>
      </c>
      <c r="L18">
        <v>6.0339999999999998</v>
      </c>
      <c r="M18">
        <v>52.445</v>
      </c>
      <c r="N18">
        <v>5.9829999999999997</v>
      </c>
      <c r="O18">
        <v>1.05</v>
      </c>
      <c r="P18">
        <v>0</v>
      </c>
      <c r="Q18">
        <v>94.325000000000003</v>
      </c>
      <c r="R18">
        <v>48.2</v>
      </c>
      <c r="S18">
        <v>46</v>
      </c>
    </row>
    <row r="19" spans="1:19" x14ac:dyDescent="0.3">
      <c r="A19" t="s">
        <v>863</v>
      </c>
      <c r="B19">
        <v>225.18299999999999</v>
      </c>
      <c r="C19">
        <v>70.033000000000001</v>
      </c>
      <c r="D19">
        <v>46.6</v>
      </c>
      <c r="E19">
        <v>0.36699999999999999</v>
      </c>
      <c r="F19">
        <v>80.400999999999996</v>
      </c>
      <c r="G19">
        <v>6.4729999999999999</v>
      </c>
      <c r="H19">
        <v>159.375</v>
      </c>
      <c r="I19">
        <v>33.119</v>
      </c>
      <c r="J19">
        <v>4.165</v>
      </c>
      <c r="K19">
        <v>230.04300000000001</v>
      </c>
      <c r="L19">
        <v>6.0519999999999996</v>
      </c>
      <c r="M19">
        <v>52.362000000000002</v>
      </c>
      <c r="N19">
        <v>5.9829999999999997</v>
      </c>
      <c r="O19">
        <v>1.0589999999999999</v>
      </c>
      <c r="P19">
        <v>0</v>
      </c>
      <c r="Q19">
        <v>94.394999999999996</v>
      </c>
      <c r="R19">
        <v>48.1</v>
      </c>
      <c r="S19">
        <v>46</v>
      </c>
    </row>
    <row r="20" spans="1:19" x14ac:dyDescent="0.3">
      <c r="A20" t="s">
        <v>864</v>
      </c>
      <c r="B20">
        <v>225.24700000000001</v>
      </c>
      <c r="C20">
        <v>70.069000000000003</v>
      </c>
      <c r="D20">
        <v>46.658999999999999</v>
      </c>
      <c r="E20">
        <v>0.36699999999999999</v>
      </c>
      <c r="F20">
        <v>80.296000000000006</v>
      </c>
      <c r="G20">
        <v>6.4619999999999997</v>
      </c>
      <c r="H20">
        <v>159.20699999999999</v>
      </c>
      <c r="I20">
        <v>33.238</v>
      </c>
      <c r="J20">
        <v>4.157</v>
      </c>
      <c r="K20">
        <v>229.797</v>
      </c>
      <c r="L20">
        <v>6.0439999999999996</v>
      </c>
      <c r="M20">
        <v>52.343000000000004</v>
      </c>
      <c r="N20">
        <v>5.9850000000000003</v>
      </c>
      <c r="O20">
        <v>1.0509999999999999</v>
      </c>
      <c r="P20">
        <v>0</v>
      </c>
      <c r="Q20">
        <v>94.367999999999995</v>
      </c>
      <c r="R20">
        <v>48.1</v>
      </c>
      <c r="S20">
        <v>46</v>
      </c>
    </row>
    <row r="21" spans="1:19" x14ac:dyDescent="0.3">
      <c r="A21" t="s">
        <v>865</v>
      </c>
      <c r="B21">
        <v>225.55199999999999</v>
      </c>
      <c r="C21">
        <v>69.977000000000004</v>
      </c>
      <c r="D21">
        <v>46.584000000000003</v>
      </c>
      <c r="E21">
        <v>0.35699999999999998</v>
      </c>
      <c r="F21">
        <v>80.543000000000006</v>
      </c>
      <c r="G21">
        <v>6.8250000000000002</v>
      </c>
      <c r="H21">
        <v>159.23400000000001</v>
      </c>
      <c r="I21">
        <v>33.472000000000001</v>
      </c>
      <c r="J21">
        <v>4.1639999999999997</v>
      </c>
      <c r="K21">
        <v>229.977</v>
      </c>
      <c r="L21">
        <v>6.05</v>
      </c>
      <c r="M21">
        <v>52.414000000000001</v>
      </c>
      <c r="N21">
        <v>5.9829999999999997</v>
      </c>
      <c r="O21">
        <v>1.052</v>
      </c>
      <c r="P21">
        <v>0</v>
      </c>
      <c r="Q21">
        <v>94.486000000000004</v>
      </c>
      <c r="R21">
        <v>48.1</v>
      </c>
      <c r="S21">
        <v>46</v>
      </c>
    </row>
    <row r="22" spans="1:19" x14ac:dyDescent="0.3">
      <c r="A22" t="s">
        <v>866</v>
      </c>
      <c r="B22">
        <v>225.178</v>
      </c>
      <c r="C22">
        <v>70.013999999999996</v>
      </c>
      <c r="D22">
        <v>46.777000000000001</v>
      </c>
      <c r="E22">
        <v>0.34699999999999998</v>
      </c>
      <c r="F22">
        <v>79.781000000000006</v>
      </c>
      <c r="G22">
        <v>6.4029999999999996</v>
      </c>
      <c r="H22">
        <v>159.40299999999999</v>
      </c>
      <c r="I22">
        <v>33.209000000000003</v>
      </c>
      <c r="J22">
        <v>4.1580000000000004</v>
      </c>
      <c r="K22">
        <v>229.74700000000001</v>
      </c>
      <c r="L22">
        <v>6.0359999999999996</v>
      </c>
      <c r="M22">
        <v>52.472999999999999</v>
      </c>
      <c r="N22">
        <v>5.9850000000000003</v>
      </c>
      <c r="O22">
        <v>1.0409999999999999</v>
      </c>
      <c r="P22">
        <v>0</v>
      </c>
      <c r="Q22">
        <v>94.5</v>
      </c>
      <c r="R22">
        <v>48</v>
      </c>
      <c r="S22">
        <v>46</v>
      </c>
    </row>
    <row r="23" spans="1:19" x14ac:dyDescent="0.3">
      <c r="A23" t="s">
        <v>867</v>
      </c>
      <c r="B23">
        <v>224.846</v>
      </c>
      <c r="C23">
        <v>70.055999999999997</v>
      </c>
      <c r="D23">
        <v>46.927999999999997</v>
      </c>
      <c r="E23">
        <v>0.35899999999999999</v>
      </c>
      <c r="F23">
        <v>80.296000000000006</v>
      </c>
      <c r="G23">
        <v>6.3929999999999998</v>
      </c>
      <c r="H23">
        <v>159.32</v>
      </c>
      <c r="I23">
        <v>32.999000000000002</v>
      </c>
      <c r="J23">
        <v>4.1660000000000004</v>
      </c>
      <c r="K23">
        <v>229.94399999999999</v>
      </c>
      <c r="L23">
        <v>6.048</v>
      </c>
      <c r="M23">
        <v>52.41</v>
      </c>
      <c r="N23">
        <v>5.9829999999999997</v>
      </c>
      <c r="O23">
        <v>1.0549999999999999</v>
      </c>
      <c r="P23">
        <v>0</v>
      </c>
      <c r="Q23">
        <v>94.328000000000003</v>
      </c>
      <c r="R23">
        <v>48</v>
      </c>
      <c r="S23">
        <v>46</v>
      </c>
    </row>
    <row r="24" spans="1:19" x14ac:dyDescent="0.3">
      <c r="A24" t="s">
        <v>868</v>
      </c>
      <c r="B24">
        <v>225.25200000000001</v>
      </c>
      <c r="C24">
        <v>69.983999999999995</v>
      </c>
      <c r="D24">
        <v>47.066000000000003</v>
      </c>
      <c r="E24">
        <v>0.35699999999999998</v>
      </c>
      <c r="F24">
        <v>79.629000000000005</v>
      </c>
      <c r="G24">
        <v>6.4960000000000004</v>
      </c>
      <c r="H24">
        <v>159.71199999999999</v>
      </c>
      <c r="I24">
        <v>33.151000000000003</v>
      </c>
      <c r="J24">
        <v>4.1580000000000004</v>
      </c>
      <c r="K24">
        <v>229.59899999999999</v>
      </c>
      <c r="L24">
        <v>6.0679999999999996</v>
      </c>
      <c r="M24">
        <v>52.497</v>
      </c>
      <c r="N24">
        <v>5.9969999999999999</v>
      </c>
      <c r="O24">
        <v>1.0529999999999999</v>
      </c>
      <c r="P24">
        <v>0</v>
      </c>
      <c r="Q24">
        <v>94.616</v>
      </c>
      <c r="R24">
        <v>48</v>
      </c>
      <c r="S24">
        <v>46</v>
      </c>
    </row>
    <row r="25" spans="1:19" ht="15" thickBot="1" x14ac:dyDescent="0.35">
      <c r="A25" t="s">
        <v>869</v>
      </c>
      <c r="B25">
        <v>224.82900000000001</v>
      </c>
      <c r="C25">
        <v>70.06</v>
      </c>
      <c r="D25">
        <v>47.264000000000003</v>
      </c>
      <c r="E25">
        <v>0.36299999999999999</v>
      </c>
      <c r="F25">
        <v>79.426000000000002</v>
      </c>
      <c r="G25">
        <v>6.5979999999999999</v>
      </c>
      <c r="H25">
        <v>159.57599999999999</v>
      </c>
      <c r="I25">
        <v>33.238</v>
      </c>
      <c r="J25">
        <v>4.1669999999999998</v>
      </c>
      <c r="K25">
        <v>230.10900000000001</v>
      </c>
      <c r="L25">
        <v>6.048</v>
      </c>
      <c r="M25">
        <v>52.427999999999997</v>
      </c>
      <c r="N25">
        <v>5.9850000000000003</v>
      </c>
      <c r="O25">
        <v>1.0589999999999999</v>
      </c>
      <c r="P25">
        <v>0</v>
      </c>
      <c r="Q25">
        <v>94.787999999999997</v>
      </c>
      <c r="R25">
        <v>47.9</v>
      </c>
      <c r="S25">
        <v>46</v>
      </c>
    </row>
    <row r="26" spans="1:19" ht="15" thickBot="1" x14ac:dyDescent="0.35">
      <c r="A26" t="s">
        <v>30</v>
      </c>
      <c r="B26" s="1">
        <f t="shared" ref="B26:S26" si="0">AVERAGE(B6:B25)</f>
        <v>224.56955000000002</v>
      </c>
      <c r="C26" s="1">
        <f t="shared" si="0"/>
        <v>69.997949999999989</v>
      </c>
      <c r="D26" s="1">
        <f t="shared" si="0"/>
        <v>46.235800000000005</v>
      </c>
      <c r="E26" s="10">
        <f t="shared" si="0"/>
        <v>0.39335000000000003</v>
      </c>
      <c r="F26" s="1">
        <f t="shared" si="0"/>
        <v>79.99639999999998</v>
      </c>
      <c r="G26" s="1">
        <f t="shared" si="0"/>
        <v>6.2636500000000002</v>
      </c>
      <c r="H26" s="10">
        <f t="shared" si="0"/>
        <v>158.81424999999999</v>
      </c>
      <c r="I26" s="1">
        <f t="shared" si="0"/>
        <v>33.208649999999999</v>
      </c>
      <c r="J26" s="8">
        <f t="shared" si="0"/>
        <v>4.1630000000000003</v>
      </c>
      <c r="K26" s="1">
        <f t="shared" si="0"/>
        <v>229.89755</v>
      </c>
      <c r="L26" s="1">
        <f t="shared" si="0"/>
        <v>6.0478500000000004</v>
      </c>
      <c r="M26" s="1">
        <f t="shared" si="0"/>
        <v>52.465099999999993</v>
      </c>
      <c r="N26" s="1">
        <f t="shared" si="0"/>
        <v>5.9864499999999996</v>
      </c>
      <c r="O26" s="1">
        <f t="shared" si="0"/>
        <v>1.0480500000000001</v>
      </c>
      <c r="P26" s="1">
        <f t="shared" si="0"/>
        <v>0</v>
      </c>
      <c r="Q26" s="1">
        <f t="shared" si="0"/>
        <v>94.059200000000004</v>
      </c>
      <c r="R26" s="1">
        <f t="shared" si="0"/>
        <v>48.170000000000009</v>
      </c>
      <c r="S26" s="1">
        <f t="shared" si="0"/>
        <v>46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88A7-CF85-4BB6-A58A-5D0EC88BB0D4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0.65886574074074078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2.4874489150541752</v>
      </c>
      <c r="M2" s="8">
        <f>100*(R26/(R26+Q26))</f>
        <v>35.638995819082261</v>
      </c>
      <c r="O2" s="9">
        <f>100*((E26*C2)/((E26*C2)+(K2*E2)))</f>
        <v>13.452310477765236</v>
      </c>
      <c r="Q2" s="10">
        <f>100*J26*(1/(((C2/3.6)*E26)+((E2/3.6)*K2)))</f>
        <v>14.746988695404466</v>
      </c>
      <c r="S2" s="6">
        <v>3.54</v>
      </c>
      <c r="U2" s="10">
        <f>100*((((G26*0.001*60)*(C26-D26)*(S2/3.6)))/(((C2/3.6)*E26)+((E2/3.6)*K2)))</f>
        <v>23.860950199220955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870</v>
      </c>
      <c r="B6">
        <v>259.41399999999999</v>
      </c>
      <c r="C6">
        <v>70.661000000000001</v>
      </c>
      <c r="D6">
        <v>51.37</v>
      </c>
      <c r="E6">
        <v>0.42599999999999999</v>
      </c>
      <c r="F6">
        <v>80.132000000000005</v>
      </c>
      <c r="G6">
        <v>8.6430000000000007</v>
      </c>
      <c r="H6">
        <v>162.941</v>
      </c>
      <c r="I6">
        <v>33.685000000000002</v>
      </c>
      <c r="J6">
        <v>5.8860000000000001</v>
      </c>
      <c r="K6">
        <v>229.977</v>
      </c>
      <c r="L6">
        <v>8.5169999999999995</v>
      </c>
      <c r="M6">
        <v>52.524000000000001</v>
      </c>
      <c r="N6">
        <v>8.4960000000000004</v>
      </c>
      <c r="O6">
        <v>1.0780000000000001</v>
      </c>
      <c r="P6">
        <v>0</v>
      </c>
      <c r="Q6">
        <v>95.433999999999997</v>
      </c>
      <c r="R6">
        <v>52.4</v>
      </c>
      <c r="S6">
        <v>51</v>
      </c>
    </row>
    <row r="7" spans="1:21" x14ac:dyDescent="0.3">
      <c r="A7" t="s">
        <v>871</v>
      </c>
      <c r="B7">
        <v>259.66000000000003</v>
      </c>
      <c r="C7">
        <v>70.628</v>
      </c>
      <c r="D7">
        <v>51.511000000000003</v>
      </c>
      <c r="E7">
        <v>0.42399999999999999</v>
      </c>
      <c r="F7">
        <v>79.602999999999994</v>
      </c>
      <c r="G7">
        <v>8.0069999999999997</v>
      </c>
      <c r="H7">
        <v>162.85499999999999</v>
      </c>
      <c r="I7">
        <v>33.792000000000002</v>
      </c>
      <c r="J7">
        <v>5.8970000000000002</v>
      </c>
      <c r="K7">
        <v>230.38800000000001</v>
      </c>
      <c r="L7">
        <v>8.5419999999999998</v>
      </c>
      <c r="M7">
        <v>52.561999999999998</v>
      </c>
      <c r="N7">
        <v>8.4930000000000003</v>
      </c>
      <c r="O7">
        <v>1.0760000000000001</v>
      </c>
      <c r="P7">
        <v>0</v>
      </c>
      <c r="Q7">
        <v>94.884</v>
      </c>
      <c r="R7">
        <v>52.4</v>
      </c>
      <c r="S7">
        <v>51</v>
      </c>
    </row>
    <row r="8" spans="1:21" x14ac:dyDescent="0.3">
      <c r="A8" t="s">
        <v>872</v>
      </c>
      <c r="B8">
        <v>259.59100000000001</v>
      </c>
      <c r="C8">
        <v>70.628</v>
      </c>
      <c r="D8">
        <v>51.646000000000001</v>
      </c>
      <c r="E8">
        <v>0.44700000000000001</v>
      </c>
      <c r="F8">
        <v>79.685000000000002</v>
      </c>
      <c r="G8">
        <v>8.1809999999999992</v>
      </c>
      <c r="H8">
        <v>162.80000000000001</v>
      </c>
      <c r="I8">
        <v>33.837000000000003</v>
      </c>
      <c r="J8">
        <v>5.8869999999999996</v>
      </c>
      <c r="K8">
        <v>230.04300000000001</v>
      </c>
      <c r="L8">
        <v>8.5239999999999991</v>
      </c>
      <c r="M8">
        <v>52.576999999999998</v>
      </c>
      <c r="N8">
        <v>8.4920000000000009</v>
      </c>
      <c r="O8">
        <v>1.0620000000000001</v>
      </c>
      <c r="P8">
        <v>0</v>
      </c>
      <c r="Q8">
        <v>94.623000000000005</v>
      </c>
      <c r="R8">
        <v>52.5</v>
      </c>
      <c r="S8">
        <v>51</v>
      </c>
    </row>
    <row r="9" spans="1:21" x14ac:dyDescent="0.3">
      <c r="A9" t="s">
        <v>873</v>
      </c>
      <c r="B9">
        <v>260.05399999999997</v>
      </c>
      <c r="C9">
        <v>70.661000000000001</v>
      </c>
      <c r="D9">
        <v>51.734999999999999</v>
      </c>
      <c r="E9">
        <v>0.48299999999999998</v>
      </c>
      <c r="F9">
        <v>80.364999999999995</v>
      </c>
      <c r="G9">
        <v>8.5280000000000005</v>
      </c>
      <c r="H9">
        <v>162.90899999999999</v>
      </c>
      <c r="I9">
        <v>33.895000000000003</v>
      </c>
      <c r="J9">
        <v>5.8929999999999998</v>
      </c>
      <c r="K9">
        <v>230.15799999999999</v>
      </c>
      <c r="L9">
        <v>8.532</v>
      </c>
      <c r="M9">
        <v>52.368000000000002</v>
      </c>
      <c r="N9">
        <v>8.4930000000000003</v>
      </c>
      <c r="O9">
        <v>1.073</v>
      </c>
      <c r="P9">
        <v>0</v>
      </c>
      <c r="Q9">
        <v>95.486000000000004</v>
      </c>
      <c r="R9">
        <v>52.5</v>
      </c>
      <c r="S9">
        <v>51</v>
      </c>
    </row>
    <row r="10" spans="1:21" x14ac:dyDescent="0.3">
      <c r="A10" t="s">
        <v>874</v>
      </c>
      <c r="B10">
        <v>259.685</v>
      </c>
      <c r="C10">
        <v>70.674000000000007</v>
      </c>
      <c r="D10">
        <v>51.747999999999998</v>
      </c>
      <c r="E10">
        <v>0.51</v>
      </c>
      <c r="F10">
        <v>80.733000000000004</v>
      </c>
      <c r="G10">
        <v>8.5630000000000006</v>
      </c>
      <c r="H10">
        <v>162.80699999999999</v>
      </c>
      <c r="I10">
        <v>33.813000000000002</v>
      </c>
      <c r="J10">
        <v>5.8840000000000003</v>
      </c>
      <c r="K10">
        <v>229.846</v>
      </c>
      <c r="L10">
        <v>8.5239999999999991</v>
      </c>
      <c r="M10">
        <v>52.552</v>
      </c>
      <c r="N10">
        <v>8.4939999999999998</v>
      </c>
      <c r="O10">
        <v>1.0680000000000001</v>
      </c>
      <c r="P10">
        <v>0</v>
      </c>
      <c r="Q10">
        <v>94.911000000000001</v>
      </c>
      <c r="R10">
        <v>52.4</v>
      </c>
      <c r="S10">
        <v>51</v>
      </c>
    </row>
    <row r="11" spans="1:21" x14ac:dyDescent="0.3">
      <c r="A11" t="s">
        <v>875</v>
      </c>
      <c r="B11">
        <v>260.67599999999999</v>
      </c>
      <c r="C11">
        <v>70.647999999999996</v>
      </c>
      <c r="D11">
        <v>51.718000000000004</v>
      </c>
      <c r="E11">
        <v>0.46200000000000002</v>
      </c>
      <c r="F11">
        <v>80.453999999999994</v>
      </c>
      <c r="G11">
        <v>8.6170000000000009</v>
      </c>
      <c r="H11">
        <v>162.78800000000001</v>
      </c>
      <c r="I11">
        <v>34.125</v>
      </c>
      <c r="J11">
        <v>5.8949999999999996</v>
      </c>
      <c r="K11">
        <v>230.273</v>
      </c>
      <c r="L11">
        <v>8.5380000000000003</v>
      </c>
      <c r="M11">
        <v>52.421999999999997</v>
      </c>
      <c r="N11">
        <v>8.4939999999999998</v>
      </c>
      <c r="O11">
        <v>1.0680000000000001</v>
      </c>
      <c r="P11">
        <v>0</v>
      </c>
      <c r="Q11">
        <v>94.936000000000007</v>
      </c>
      <c r="R11">
        <v>52.5</v>
      </c>
      <c r="S11">
        <v>51</v>
      </c>
    </row>
    <row r="12" spans="1:21" x14ac:dyDescent="0.3">
      <c r="A12" t="s">
        <v>876</v>
      </c>
      <c r="B12">
        <v>259.23</v>
      </c>
      <c r="C12">
        <v>70.722999999999999</v>
      </c>
      <c r="D12">
        <v>51.796999999999997</v>
      </c>
      <c r="E12">
        <v>0.49</v>
      </c>
      <c r="F12">
        <v>80.566000000000003</v>
      </c>
      <c r="G12">
        <v>8.16</v>
      </c>
      <c r="H12">
        <v>162.76599999999999</v>
      </c>
      <c r="I12">
        <v>33.997</v>
      </c>
      <c r="J12">
        <v>5.8860000000000001</v>
      </c>
      <c r="K12">
        <v>230.02699999999999</v>
      </c>
      <c r="L12">
        <v>8.5210000000000008</v>
      </c>
      <c r="M12">
        <v>52.610999999999997</v>
      </c>
      <c r="N12">
        <v>8.4879999999999995</v>
      </c>
      <c r="O12">
        <v>1.0720000000000001</v>
      </c>
      <c r="P12">
        <v>0</v>
      </c>
      <c r="Q12">
        <v>94.855000000000004</v>
      </c>
      <c r="R12">
        <v>52.5</v>
      </c>
      <c r="S12">
        <v>51</v>
      </c>
    </row>
    <row r="13" spans="1:21" x14ac:dyDescent="0.3">
      <c r="A13" t="s">
        <v>877</v>
      </c>
      <c r="B13">
        <v>260.12400000000002</v>
      </c>
      <c r="C13">
        <v>70.69</v>
      </c>
      <c r="D13">
        <v>51.863</v>
      </c>
      <c r="E13">
        <v>0.45900000000000002</v>
      </c>
      <c r="F13">
        <v>79.462000000000003</v>
      </c>
      <c r="G13">
        <v>8.6449999999999996</v>
      </c>
      <c r="H13">
        <v>162.79599999999999</v>
      </c>
      <c r="I13">
        <v>33.927</v>
      </c>
      <c r="J13">
        <v>5.8949999999999996</v>
      </c>
      <c r="K13">
        <v>230.322</v>
      </c>
      <c r="L13">
        <v>8.5389999999999997</v>
      </c>
      <c r="M13">
        <v>52.600999999999999</v>
      </c>
      <c r="N13">
        <v>8.4920000000000009</v>
      </c>
      <c r="O13">
        <v>1.05</v>
      </c>
      <c r="P13">
        <v>0</v>
      </c>
      <c r="Q13">
        <v>94.730999999999995</v>
      </c>
      <c r="R13">
        <v>52.5</v>
      </c>
      <c r="S13">
        <v>51</v>
      </c>
    </row>
    <row r="14" spans="1:21" x14ac:dyDescent="0.3">
      <c r="A14" t="s">
        <v>878</v>
      </c>
      <c r="B14">
        <v>260.58499999999998</v>
      </c>
      <c r="C14">
        <v>70.72</v>
      </c>
      <c r="D14">
        <v>51.872999999999998</v>
      </c>
      <c r="E14">
        <v>0.40799999999999997</v>
      </c>
      <c r="F14">
        <v>80.372</v>
      </c>
      <c r="G14">
        <v>8.5</v>
      </c>
      <c r="H14">
        <v>162.80099999999999</v>
      </c>
      <c r="I14">
        <v>33.857999999999997</v>
      </c>
      <c r="J14">
        <v>5.8849999999999998</v>
      </c>
      <c r="K14">
        <v>229.977</v>
      </c>
      <c r="L14">
        <v>8.4079999999999995</v>
      </c>
      <c r="M14">
        <v>52.503999999999998</v>
      </c>
      <c r="N14">
        <v>8.4870000000000001</v>
      </c>
      <c r="O14">
        <v>1.0589999999999999</v>
      </c>
      <c r="P14">
        <v>0</v>
      </c>
      <c r="Q14">
        <v>94.66</v>
      </c>
      <c r="R14">
        <v>52.5</v>
      </c>
      <c r="S14">
        <v>51</v>
      </c>
    </row>
    <row r="15" spans="1:21" x14ac:dyDescent="0.3">
      <c r="A15" t="s">
        <v>879</v>
      </c>
      <c r="B15">
        <v>259.63900000000001</v>
      </c>
      <c r="C15">
        <v>70.671000000000006</v>
      </c>
      <c r="D15">
        <v>52.006999999999998</v>
      </c>
      <c r="E15">
        <v>0.38500000000000001</v>
      </c>
      <c r="F15">
        <v>80.286000000000001</v>
      </c>
      <c r="G15">
        <v>8.8659999999999997</v>
      </c>
      <c r="H15">
        <v>162.93</v>
      </c>
      <c r="I15">
        <v>33.825000000000003</v>
      </c>
      <c r="J15">
        <v>5.8949999999999996</v>
      </c>
      <c r="K15">
        <v>230.191</v>
      </c>
      <c r="L15">
        <v>8.3849999999999998</v>
      </c>
      <c r="M15">
        <v>52.482999999999997</v>
      </c>
      <c r="N15">
        <v>8.4909999999999997</v>
      </c>
      <c r="O15">
        <v>1.0609999999999999</v>
      </c>
      <c r="P15">
        <v>0</v>
      </c>
      <c r="Q15">
        <v>94.808999999999997</v>
      </c>
      <c r="R15">
        <v>52.5</v>
      </c>
      <c r="S15">
        <v>51</v>
      </c>
    </row>
    <row r="16" spans="1:21" x14ac:dyDescent="0.3">
      <c r="A16" t="s">
        <v>880</v>
      </c>
      <c r="B16">
        <v>259.60700000000003</v>
      </c>
      <c r="C16">
        <v>70.712999999999994</v>
      </c>
      <c r="D16">
        <v>52.052999999999997</v>
      </c>
      <c r="E16">
        <v>0.38200000000000001</v>
      </c>
      <c r="F16">
        <v>80.197999999999993</v>
      </c>
      <c r="G16">
        <v>8.6890000000000001</v>
      </c>
      <c r="H16">
        <v>162.899</v>
      </c>
      <c r="I16">
        <v>33.668999999999997</v>
      </c>
      <c r="J16">
        <v>5.8879999999999999</v>
      </c>
      <c r="K16">
        <v>230.04300000000001</v>
      </c>
      <c r="L16">
        <v>8.65</v>
      </c>
      <c r="M16">
        <v>52.417999999999999</v>
      </c>
      <c r="N16">
        <v>8.4909999999999997</v>
      </c>
      <c r="O16">
        <v>1.0620000000000001</v>
      </c>
      <c r="P16">
        <v>0</v>
      </c>
      <c r="Q16">
        <v>94.555999999999997</v>
      </c>
      <c r="R16">
        <v>52.5</v>
      </c>
      <c r="S16">
        <v>51</v>
      </c>
    </row>
    <row r="17" spans="1:19" x14ac:dyDescent="0.3">
      <c r="A17" t="s">
        <v>881</v>
      </c>
      <c r="B17">
        <v>258.79399999999998</v>
      </c>
      <c r="C17">
        <v>70.671000000000006</v>
      </c>
      <c r="D17">
        <v>52.116</v>
      </c>
      <c r="E17">
        <v>0.375</v>
      </c>
      <c r="F17">
        <v>80.536000000000001</v>
      </c>
      <c r="G17">
        <v>8.9169999999999998</v>
      </c>
      <c r="H17">
        <v>162.77500000000001</v>
      </c>
      <c r="I17">
        <v>33.636000000000003</v>
      </c>
      <c r="J17">
        <v>5.8929999999999998</v>
      </c>
      <c r="K17">
        <v>230.191</v>
      </c>
      <c r="L17">
        <v>8.4280000000000008</v>
      </c>
      <c r="M17">
        <v>52.506</v>
      </c>
      <c r="N17">
        <v>8.4939999999999998</v>
      </c>
      <c r="O17">
        <v>1.0640000000000001</v>
      </c>
      <c r="P17">
        <v>0</v>
      </c>
      <c r="Q17">
        <v>94.613</v>
      </c>
      <c r="R17">
        <v>52.5</v>
      </c>
      <c r="S17">
        <v>51</v>
      </c>
    </row>
    <row r="18" spans="1:19" x14ac:dyDescent="0.3">
      <c r="A18" t="s">
        <v>882</v>
      </c>
      <c r="B18">
        <v>260.71899999999999</v>
      </c>
      <c r="C18">
        <v>70.712999999999994</v>
      </c>
      <c r="D18">
        <v>52.237000000000002</v>
      </c>
      <c r="E18">
        <v>0.39300000000000002</v>
      </c>
      <c r="F18">
        <v>79.593000000000004</v>
      </c>
      <c r="G18">
        <v>8.5399999999999991</v>
      </c>
      <c r="H18">
        <v>162.809</v>
      </c>
      <c r="I18">
        <v>33.677</v>
      </c>
      <c r="J18">
        <v>5.8869999999999996</v>
      </c>
      <c r="K18">
        <v>229.81299999999999</v>
      </c>
      <c r="L18">
        <v>8.4350000000000005</v>
      </c>
      <c r="M18">
        <v>52.658000000000001</v>
      </c>
      <c r="N18">
        <v>8.4920000000000009</v>
      </c>
      <c r="O18">
        <v>1.07</v>
      </c>
      <c r="P18">
        <v>0</v>
      </c>
      <c r="Q18">
        <v>95.188999999999993</v>
      </c>
      <c r="R18">
        <v>52.5</v>
      </c>
      <c r="S18">
        <v>51</v>
      </c>
    </row>
    <row r="19" spans="1:19" x14ac:dyDescent="0.3">
      <c r="A19" t="s">
        <v>883</v>
      </c>
      <c r="B19">
        <v>261.07600000000002</v>
      </c>
      <c r="C19">
        <v>70.712999999999994</v>
      </c>
      <c r="D19">
        <v>52.237000000000002</v>
      </c>
      <c r="E19">
        <v>0.44700000000000001</v>
      </c>
      <c r="F19">
        <v>80.283000000000001</v>
      </c>
      <c r="G19">
        <v>8.4619999999999997</v>
      </c>
      <c r="H19">
        <v>162.87700000000001</v>
      </c>
      <c r="I19">
        <v>33.725999999999999</v>
      </c>
      <c r="J19">
        <v>5.8949999999999996</v>
      </c>
      <c r="K19">
        <v>230.17400000000001</v>
      </c>
      <c r="L19">
        <v>8.4499999999999993</v>
      </c>
      <c r="M19">
        <v>52.5</v>
      </c>
      <c r="N19">
        <v>8.4979999999999993</v>
      </c>
      <c r="O19">
        <v>1.0680000000000001</v>
      </c>
      <c r="P19">
        <v>0</v>
      </c>
      <c r="Q19">
        <v>94.537000000000006</v>
      </c>
      <c r="R19">
        <v>52.4</v>
      </c>
      <c r="S19">
        <v>51</v>
      </c>
    </row>
    <row r="20" spans="1:19" x14ac:dyDescent="0.3">
      <c r="A20" t="s">
        <v>884</v>
      </c>
      <c r="B20">
        <v>260.13</v>
      </c>
      <c r="C20">
        <v>70.73</v>
      </c>
      <c r="D20">
        <v>52.191000000000003</v>
      </c>
      <c r="E20">
        <v>0.48799999999999999</v>
      </c>
      <c r="F20">
        <v>80.834999999999994</v>
      </c>
      <c r="G20">
        <v>9.2379999999999995</v>
      </c>
      <c r="H20">
        <v>162.81399999999999</v>
      </c>
      <c r="I20">
        <v>33.792000000000002</v>
      </c>
      <c r="J20">
        <v>5.8869999999999996</v>
      </c>
      <c r="K20">
        <v>229.69800000000001</v>
      </c>
      <c r="L20">
        <v>8.4499999999999993</v>
      </c>
      <c r="M20">
        <v>52.564</v>
      </c>
      <c r="N20">
        <v>8.4930000000000003</v>
      </c>
      <c r="O20">
        <v>1.073</v>
      </c>
      <c r="P20">
        <v>0</v>
      </c>
      <c r="Q20">
        <v>94.983999999999995</v>
      </c>
      <c r="R20">
        <v>52.5</v>
      </c>
      <c r="S20">
        <v>51</v>
      </c>
    </row>
    <row r="21" spans="1:19" x14ac:dyDescent="0.3">
      <c r="A21" t="s">
        <v>885</v>
      </c>
      <c r="B21">
        <v>260.71600000000001</v>
      </c>
      <c r="C21">
        <v>70.706999999999994</v>
      </c>
      <c r="D21">
        <v>52.177999999999997</v>
      </c>
      <c r="E21">
        <v>0.49399999999999999</v>
      </c>
      <c r="F21">
        <v>80.635000000000005</v>
      </c>
      <c r="G21">
        <v>8.9030000000000005</v>
      </c>
      <c r="H21">
        <v>162.91800000000001</v>
      </c>
      <c r="I21">
        <v>33.918999999999997</v>
      </c>
      <c r="J21">
        <v>5.8949999999999996</v>
      </c>
      <c r="K21">
        <v>230.15799999999999</v>
      </c>
      <c r="L21">
        <v>8.4629999999999992</v>
      </c>
      <c r="M21">
        <v>52.451000000000001</v>
      </c>
      <c r="N21">
        <v>8.4939999999999998</v>
      </c>
      <c r="O21">
        <v>1.0720000000000001</v>
      </c>
      <c r="P21">
        <v>0</v>
      </c>
      <c r="Q21">
        <v>95.122</v>
      </c>
      <c r="R21">
        <v>52.5</v>
      </c>
      <c r="S21">
        <v>51</v>
      </c>
    </row>
    <row r="22" spans="1:19" x14ac:dyDescent="0.3">
      <c r="A22" t="s">
        <v>886</v>
      </c>
      <c r="B22">
        <v>259.899</v>
      </c>
      <c r="C22">
        <v>70.769000000000005</v>
      </c>
      <c r="D22">
        <v>52.295999999999999</v>
      </c>
      <c r="E22">
        <v>0.51500000000000001</v>
      </c>
      <c r="F22">
        <v>80.510000000000005</v>
      </c>
      <c r="G22">
        <v>8.8059999999999992</v>
      </c>
      <c r="H22">
        <v>162.96100000000001</v>
      </c>
      <c r="I22">
        <v>33.951999999999998</v>
      </c>
      <c r="J22">
        <v>5.8869999999999996</v>
      </c>
      <c r="K22">
        <v>229.74700000000001</v>
      </c>
      <c r="L22">
        <v>8.4499999999999993</v>
      </c>
      <c r="M22">
        <v>52.363999999999997</v>
      </c>
      <c r="N22">
        <v>8.4870000000000001</v>
      </c>
      <c r="O22">
        <v>1.075</v>
      </c>
      <c r="P22">
        <v>0</v>
      </c>
      <c r="Q22">
        <v>94.522000000000006</v>
      </c>
      <c r="R22">
        <v>52.5</v>
      </c>
      <c r="S22">
        <v>51</v>
      </c>
    </row>
    <row r="23" spans="1:19" x14ac:dyDescent="0.3">
      <c r="A23" t="s">
        <v>887</v>
      </c>
      <c r="B23">
        <v>260.125</v>
      </c>
      <c r="C23">
        <v>70.748999999999995</v>
      </c>
      <c r="D23">
        <v>52.533000000000001</v>
      </c>
      <c r="E23">
        <v>0.51200000000000001</v>
      </c>
      <c r="F23">
        <v>81.016000000000005</v>
      </c>
      <c r="G23">
        <v>8.6679999999999993</v>
      </c>
      <c r="H23">
        <v>162.88999999999999</v>
      </c>
      <c r="I23">
        <v>34.210999999999999</v>
      </c>
      <c r="J23">
        <v>5.89</v>
      </c>
      <c r="K23">
        <v>230.142</v>
      </c>
      <c r="L23">
        <v>8.4380000000000006</v>
      </c>
      <c r="M23">
        <v>52.454999999999998</v>
      </c>
      <c r="N23">
        <v>8.4920000000000009</v>
      </c>
      <c r="O23">
        <v>1.071</v>
      </c>
      <c r="P23">
        <v>0</v>
      </c>
      <c r="Q23">
        <v>94.057000000000002</v>
      </c>
      <c r="R23">
        <v>52.4</v>
      </c>
      <c r="S23">
        <v>51</v>
      </c>
    </row>
    <row r="24" spans="1:19" x14ac:dyDescent="0.3">
      <c r="A24" t="s">
        <v>888</v>
      </c>
      <c r="B24">
        <v>260.08100000000002</v>
      </c>
      <c r="C24">
        <v>70.769000000000005</v>
      </c>
      <c r="D24">
        <v>52.691000000000003</v>
      </c>
      <c r="E24">
        <v>0.48399999999999999</v>
      </c>
      <c r="F24">
        <v>81.528000000000006</v>
      </c>
      <c r="G24">
        <v>9.0670000000000002</v>
      </c>
      <c r="H24">
        <v>162.90799999999999</v>
      </c>
      <c r="I24">
        <v>34.051000000000002</v>
      </c>
      <c r="J24">
        <v>5.8879999999999999</v>
      </c>
      <c r="K24">
        <v>229.928</v>
      </c>
      <c r="L24">
        <v>8.4109999999999996</v>
      </c>
      <c r="M24">
        <v>52.487000000000002</v>
      </c>
      <c r="N24">
        <v>8.4979999999999993</v>
      </c>
      <c r="O24">
        <v>1.069</v>
      </c>
      <c r="P24">
        <v>0</v>
      </c>
      <c r="Q24">
        <v>94.200999999999993</v>
      </c>
      <c r="R24">
        <v>52.5</v>
      </c>
      <c r="S24">
        <v>51</v>
      </c>
    </row>
    <row r="25" spans="1:19" ht="15" thickBot="1" x14ac:dyDescent="0.35">
      <c r="A25" t="s">
        <v>889</v>
      </c>
      <c r="B25">
        <v>260.41000000000003</v>
      </c>
      <c r="C25">
        <v>70.802000000000007</v>
      </c>
      <c r="D25">
        <v>52.694000000000003</v>
      </c>
      <c r="E25">
        <v>0.47599999999999998</v>
      </c>
      <c r="F25">
        <v>80.95</v>
      </c>
      <c r="G25">
        <v>8.9730000000000008</v>
      </c>
      <c r="H25">
        <v>162.88900000000001</v>
      </c>
      <c r="I25">
        <v>34.186</v>
      </c>
      <c r="J25">
        <v>5.891</v>
      </c>
      <c r="K25">
        <v>230.04300000000001</v>
      </c>
      <c r="L25">
        <v>8.4160000000000004</v>
      </c>
      <c r="M25">
        <v>52.497</v>
      </c>
      <c r="N25">
        <v>8.4949999999999992</v>
      </c>
      <c r="O25">
        <v>1.0629999999999999</v>
      </c>
      <c r="P25">
        <v>0</v>
      </c>
      <c r="Q25">
        <v>94.197999999999993</v>
      </c>
      <c r="R25">
        <v>52.5</v>
      </c>
      <c r="S25">
        <v>51</v>
      </c>
    </row>
    <row r="26" spans="1:19" ht="15" thickBot="1" x14ac:dyDescent="0.35">
      <c r="A26" t="s">
        <v>30</v>
      </c>
      <c r="B26" s="1">
        <f t="shared" ref="B26:S26" si="0">AVERAGE(B6:B25)</f>
        <v>260.01075000000003</v>
      </c>
      <c r="C26" s="1">
        <f t="shared" si="0"/>
        <v>70.701999999999998</v>
      </c>
      <c r="D26" s="1">
        <f t="shared" si="0"/>
        <v>52.024699999999996</v>
      </c>
      <c r="E26" s="10">
        <f t="shared" si="0"/>
        <v>0.45299999999999996</v>
      </c>
      <c r="F26" s="1">
        <f t="shared" si="0"/>
        <v>80.387100000000004</v>
      </c>
      <c r="G26" s="1">
        <f t="shared" si="0"/>
        <v>8.6486499999999999</v>
      </c>
      <c r="H26" s="10">
        <f t="shared" si="0"/>
        <v>162.85665</v>
      </c>
      <c r="I26" s="1">
        <f t="shared" si="0"/>
        <v>33.878650000000007</v>
      </c>
      <c r="J26" s="8">
        <f t="shared" si="0"/>
        <v>5.890200000000001</v>
      </c>
      <c r="K26" s="1">
        <f t="shared" si="0"/>
        <v>230.05694999999997</v>
      </c>
      <c r="L26" s="1">
        <f t="shared" si="0"/>
        <v>8.4810499999999998</v>
      </c>
      <c r="M26" s="1">
        <f t="shared" si="0"/>
        <v>52.505200000000002</v>
      </c>
      <c r="N26" s="1">
        <f t="shared" si="0"/>
        <v>8.4926999999999992</v>
      </c>
      <c r="O26" s="1">
        <f t="shared" si="0"/>
        <v>1.0676999999999999</v>
      </c>
      <c r="P26" s="1">
        <f t="shared" si="0"/>
        <v>0</v>
      </c>
      <c r="Q26" s="1">
        <f t="shared" si="0"/>
        <v>94.765400000000014</v>
      </c>
      <c r="R26" s="1">
        <f t="shared" si="0"/>
        <v>52.475000000000001</v>
      </c>
      <c r="S26" s="1">
        <f t="shared" si="0"/>
        <v>51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426E-A273-4CA0-B964-A279D6D6DAE4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" sqref="K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0.65978009259259263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2.589509570150681</v>
      </c>
      <c r="M2" s="8">
        <f>100*(R26/(R26+Q26))</f>
        <v>37.084945603501509</v>
      </c>
      <c r="O2" s="9">
        <f>100*((E26*C2)/((E26*C2)+(K2*E2)))</f>
        <v>14.877963362499965</v>
      </c>
      <c r="Q2" s="10">
        <f>100*J26*(1/(((C2/3.6)*E26)+((E2/3.6)*K2)))</f>
        <v>18.688085111585803</v>
      </c>
      <c r="S2" s="6">
        <v>3.54</v>
      </c>
      <c r="U2" s="10">
        <f>100*((((G26*0.001*60)*(C26-D26)*(S2/3.6)))/(((C2/3.6)*E26)+((E2/3.6)*K2)))</f>
        <v>26.436878459589551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890</v>
      </c>
      <c r="B6">
        <v>301.30099999999999</v>
      </c>
      <c r="C6">
        <v>71.686000000000007</v>
      </c>
      <c r="D6">
        <v>56.804000000000002</v>
      </c>
      <c r="E6">
        <v>0.55100000000000005</v>
      </c>
      <c r="F6">
        <v>81.064999999999998</v>
      </c>
      <c r="G6">
        <v>12.736000000000001</v>
      </c>
      <c r="H6">
        <v>162.91900000000001</v>
      </c>
      <c r="I6">
        <v>35.064999999999998</v>
      </c>
      <c r="J6">
        <v>7.8979999999999997</v>
      </c>
      <c r="K6">
        <v>230.125</v>
      </c>
      <c r="L6">
        <v>11.43</v>
      </c>
      <c r="M6">
        <v>52.185000000000002</v>
      </c>
      <c r="N6">
        <v>11.404999999999999</v>
      </c>
      <c r="O6">
        <v>1.071</v>
      </c>
      <c r="P6">
        <v>0</v>
      </c>
      <c r="Q6">
        <v>95.316000000000003</v>
      </c>
      <c r="R6">
        <v>56.6</v>
      </c>
      <c r="S6">
        <v>56</v>
      </c>
    </row>
    <row r="7" spans="1:21" x14ac:dyDescent="0.3">
      <c r="A7" t="s">
        <v>891</v>
      </c>
      <c r="B7">
        <v>300.74599999999998</v>
      </c>
      <c r="C7">
        <v>71.826999999999998</v>
      </c>
      <c r="D7">
        <v>57.000999999999998</v>
      </c>
      <c r="E7">
        <v>0.51</v>
      </c>
      <c r="F7">
        <v>80.421000000000006</v>
      </c>
      <c r="G7">
        <v>13.077999999999999</v>
      </c>
      <c r="H7">
        <v>162.934</v>
      </c>
      <c r="I7">
        <v>35.228999999999999</v>
      </c>
      <c r="J7">
        <v>7.9039999999999999</v>
      </c>
      <c r="K7">
        <v>230.38800000000001</v>
      </c>
      <c r="L7">
        <v>11.446</v>
      </c>
      <c r="M7">
        <v>52.308999999999997</v>
      </c>
      <c r="N7">
        <v>11.401</v>
      </c>
      <c r="O7">
        <v>1.0760000000000001</v>
      </c>
      <c r="P7">
        <v>0</v>
      </c>
      <c r="Q7">
        <v>95.197999999999993</v>
      </c>
      <c r="R7">
        <v>56.7</v>
      </c>
      <c r="S7">
        <v>56</v>
      </c>
    </row>
    <row r="8" spans="1:21" x14ac:dyDescent="0.3">
      <c r="A8" t="s">
        <v>892</v>
      </c>
      <c r="B8">
        <v>301.12900000000002</v>
      </c>
      <c r="C8">
        <v>71.768000000000001</v>
      </c>
      <c r="D8">
        <v>57.006999999999998</v>
      </c>
      <c r="E8">
        <v>0.56499999999999995</v>
      </c>
      <c r="F8">
        <v>81.843999999999994</v>
      </c>
      <c r="G8">
        <v>12.999000000000001</v>
      </c>
      <c r="H8">
        <v>162.982</v>
      </c>
      <c r="I8">
        <v>35.384999999999998</v>
      </c>
      <c r="J8">
        <v>7.8979999999999997</v>
      </c>
      <c r="K8">
        <v>230.02699999999999</v>
      </c>
      <c r="L8">
        <v>11.428000000000001</v>
      </c>
      <c r="M8">
        <v>52.268000000000001</v>
      </c>
      <c r="N8">
        <v>11.409000000000001</v>
      </c>
      <c r="O8">
        <v>1.071</v>
      </c>
      <c r="P8">
        <v>0</v>
      </c>
      <c r="Q8">
        <v>95.415000000000006</v>
      </c>
      <c r="R8">
        <v>56.7</v>
      </c>
      <c r="S8">
        <v>56</v>
      </c>
    </row>
    <row r="9" spans="1:21" x14ac:dyDescent="0.3">
      <c r="A9" t="s">
        <v>893</v>
      </c>
      <c r="B9">
        <v>300.928</v>
      </c>
      <c r="C9">
        <v>71.819999999999993</v>
      </c>
      <c r="D9">
        <v>57.122</v>
      </c>
      <c r="E9">
        <v>0.503</v>
      </c>
      <c r="F9">
        <v>81.977999999999994</v>
      </c>
      <c r="G9">
        <v>12.938000000000001</v>
      </c>
      <c r="H9">
        <v>162.92599999999999</v>
      </c>
      <c r="I9">
        <v>35.421999999999997</v>
      </c>
      <c r="J9">
        <v>7.9089999999999998</v>
      </c>
      <c r="K9">
        <v>230.42099999999999</v>
      </c>
      <c r="L9">
        <v>11.44</v>
      </c>
      <c r="M9">
        <v>52.337000000000003</v>
      </c>
      <c r="N9">
        <v>11.416</v>
      </c>
      <c r="O9">
        <v>1.0840000000000001</v>
      </c>
      <c r="P9">
        <v>0</v>
      </c>
      <c r="Q9">
        <v>95.162999999999997</v>
      </c>
      <c r="R9">
        <v>56.7</v>
      </c>
      <c r="S9">
        <v>56</v>
      </c>
    </row>
    <row r="10" spans="1:21" x14ac:dyDescent="0.3">
      <c r="A10" t="s">
        <v>894</v>
      </c>
      <c r="B10">
        <v>301.63099999999997</v>
      </c>
      <c r="C10">
        <v>71.846999999999994</v>
      </c>
      <c r="D10">
        <v>57.267000000000003</v>
      </c>
      <c r="E10">
        <v>0.59099999999999997</v>
      </c>
      <c r="F10">
        <v>80.847999999999999</v>
      </c>
      <c r="G10">
        <v>13.382</v>
      </c>
      <c r="H10">
        <v>162.94300000000001</v>
      </c>
      <c r="I10">
        <v>35.421999999999997</v>
      </c>
      <c r="J10">
        <v>7.8940000000000001</v>
      </c>
      <c r="K10">
        <v>230.04300000000001</v>
      </c>
      <c r="L10">
        <v>11.448</v>
      </c>
      <c r="M10">
        <v>52.189</v>
      </c>
      <c r="N10">
        <v>11.404999999999999</v>
      </c>
      <c r="O10">
        <v>1.0820000000000001</v>
      </c>
      <c r="P10">
        <v>0</v>
      </c>
      <c r="Q10">
        <v>95.375</v>
      </c>
      <c r="R10">
        <v>56.7</v>
      </c>
      <c r="S10">
        <v>56</v>
      </c>
    </row>
    <row r="11" spans="1:21" x14ac:dyDescent="0.3">
      <c r="A11" t="s">
        <v>895</v>
      </c>
      <c r="B11">
        <v>300.553</v>
      </c>
      <c r="C11">
        <v>71.849999999999994</v>
      </c>
      <c r="D11">
        <v>57.398000000000003</v>
      </c>
      <c r="E11">
        <v>0.47199999999999998</v>
      </c>
      <c r="F11">
        <v>81.915999999999997</v>
      </c>
      <c r="G11">
        <v>13.377000000000001</v>
      </c>
      <c r="H11">
        <v>162.88900000000001</v>
      </c>
      <c r="I11">
        <v>35.131</v>
      </c>
      <c r="J11">
        <v>7.9009999999999998</v>
      </c>
      <c r="K11">
        <v>230.20699999999999</v>
      </c>
      <c r="L11">
        <v>11.297000000000001</v>
      </c>
      <c r="M11">
        <v>52.185000000000002</v>
      </c>
      <c r="N11">
        <v>11.4</v>
      </c>
      <c r="O11">
        <v>1.079</v>
      </c>
      <c r="P11">
        <v>0</v>
      </c>
      <c r="Q11">
        <v>95.355000000000004</v>
      </c>
      <c r="R11">
        <v>56.7</v>
      </c>
      <c r="S11">
        <v>56</v>
      </c>
    </row>
    <row r="12" spans="1:21" x14ac:dyDescent="0.3">
      <c r="A12" t="s">
        <v>896</v>
      </c>
      <c r="B12">
        <v>300.42500000000001</v>
      </c>
      <c r="C12">
        <v>71.876000000000005</v>
      </c>
      <c r="D12">
        <v>57.527000000000001</v>
      </c>
      <c r="E12">
        <v>0.56100000000000005</v>
      </c>
      <c r="F12">
        <v>81.108000000000004</v>
      </c>
      <c r="G12">
        <v>13.009</v>
      </c>
      <c r="H12">
        <v>162.96899999999999</v>
      </c>
      <c r="I12">
        <v>35.262</v>
      </c>
      <c r="J12">
        <v>7.8940000000000001</v>
      </c>
      <c r="K12">
        <v>230.01</v>
      </c>
      <c r="L12">
        <v>11.294</v>
      </c>
      <c r="M12">
        <v>52.156999999999996</v>
      </c>
      <c r="N12">
        <v>11.406000000000001</v>
      </c>
      <c r="O12">
        <v>1.075</v>
      </c>
      <c r="P12">
        <v>0</v>
      </c>
      <c r="Q12">
        <v>95.073999999999998</v>
      </c>
      <c r="R12">
        <v>56.7</v>
      </c>
      <c r="S12">
        <v>56</v>
      </c>
    </row>
    <row r="13" spans="1:21" x14ac:dyDescent="0.3">
      <c r="A13" t="s">
        <v>897</v>
      </c>
      <c r="B13">
        <v>301.04899999999998</v>
      </c>
      <c r="C13">
        <v>71.837000000000003</v>
      </c>
      <c r="D13">
        <v>57.598999999999997</v>
      </c>
      <c r="E13">
        <v>0.48499999999999999</v>
      </c>
      <c r="F13">
        <v>80.962999999999994</v>
      </c>
      <c r="G13">
        <v>13.183</v>
      </c>
      <c r="H13">
        <v>162.90700000000001</v>
      </c>
      <c r="I13">
        <v>35.536999999999999</v>
      </c>
      <c r="J13">
        <v>7.9020000000000001</v>
      </c>
      <c r="K13">
        <v>230.339</v>
      </c>
      <c r="L13">
        <v>11.353</v>
      </c>
      <c r="M13">
        <v>52.161000000000001</v>
      </c>
      <c r="N13">
        <v>11.393000000000001</v>
      </c>
      <c r="O13">
        <v>1.08</v>
      </c>
      <c r="P13">
        <v>0</v>
      </c>
      <c r="Q13">
        <v>94.674000000000007</v>
      </c>
      <c r="R13">
        <v>56.7</v>
      </c>
      <c r="S13">
        <v>56</v>
      </c>
    </row>
    <row r="14" spans="1:21" x14ac:dyDescent="0.3">
      <c r="A14" t="s">
        <v>898</v>
      </c>
      <c r="B14">
        <v>300.62400000000002</v>
      </c>
      <c r="C14">
        <v>71.866</v>
      </c>
      <c r="D14">
        <v>57.72</v>
      </c>
      <c r="E14">
        <v>0.55800000000000005</v>
      </c>
      <c r="F14">
        <v>80.361999999999995</v>
      </c>
      <c r="G14">
        <v>13.401999999999999</v>
      </c>
      <c r="H14">
        <v>162.94</v>
      </c>
      <c r="I14">
        <v>35.369</v>
      </c>
      <c r="J14">
        <v>7.8959999999999999</v>
      </c>
      <c r="K14">
        <v>230.02699999999999</v>
      </c>
      <c r="L14">
        <v>11.38</v>
      </c>
      <c r="M14">
        <v>52.396000000000001</v>
      </c>
      <c r="N14">
        <v>11.401999999999999</v>
      </c>
      <c r="O14">
        <v>1.08</v>
      </c>
      <c r="P14">
        <v>0</v>
      </c>
      <c r="Q14">
        <v>94.643000000000001</v>
      </c>
      <c r="R14">
        <v>56.9</v>
      </c>
      <c r="S14">
        <v>56</v>
      </c>
    </row>
    <row r="15" spans="1:21" x14ac:dyDescent="0.3">
      <c r="A15" t="s">
        <v>899</v>
      </c>
      <c r="B15">
        <v>302.19299999999998</v>
      </c>
      <c r="C15">
        <v>71.849999999999994</v>
      </c>
      <c r="D15">
        <v>57.838999999999999</v>
      </c>
      <c r="E15">
        <v>0.46600000000000003</v>
      </c>
      <c r="F15">
        <v>82.066999999999993</v>
      </c>
      <c r="G15">
        <v>13.449</v>
      </c>
      <c r="H15">
        <v>162.97999999999999</v>
      </c>
      <c r="I15">
        <v>35.521000000000001</v>
      </c>
      <c r="J15">
        <v>7.9080000000000004</v>
      </c>
      <c r="K15">
        <v>230.45400000000001</v>
      </c>
      <c r="L15">
        <v>11.378</v>
      </c>
      <c r="M15">
        <v>52.354999999999997</v>
      </c>
      <c r="N15">
        <v>11.398</v>
      </c>
      <c r="O15">
        <v>1.08</v>
      </c>
      <c r="P15">
        <v>0</v>
      </c>
      <c r="Q15">
        <v>95.646000000000001</v>
      </c>
      <c r="R15">
        <v>56.9</v>
      </c>
      <c r="S15">
        <v>56</v>
      </c>
    </row>
    <row r="16" spans="1:21" x14ac:dyDescent="0.3">
      <c r="A16" t="s">
        <v>900</v>
      </c>
      <c r="B16">
        <v>301.96800000000002</v>
      </c>
      <c r="C16">
        <v>71.823999999999998</v>
      </c>
      <c r="D16">
        <v>57.901000000000003</v>
      </c>
      <c r="E16">
        <v>0.51</v>
      </c>
      <c r="F16">
        <v>80.155000000000001</v>
      </c>
      <c r="G16">
        <v>13.439</v>
      </c>
      <c r="H16">
        <v>162.934</v>
      </c>
      <c r="I16">
        <v>35.774999999999999</v>
      </c>
      <c r="J16">
        <v>7.8940000000000001</v>
      </c>
      <c r="K16">
        <v>230.191</v>
      </c>
      <c r="L16">
        <v>11.537000000000001</v>
      </c>
      <c r="M16">
        <v>52.319000000000003</v>
      </c>
      <c r="N16">
        <v>11.401999999999999</v>
      </c>
      <c r="O16">
        <v>1.071</v>
      </c>
      <c r="P16">
        <v>0</v>
      </c>
      <c r="Q16">
        <v>96.376000000000005</v>
      </c>
      <c r="R16">
        <v>56.8</v>
      </c>
      <c r="S16">
        <v>56</v>
      </c>
    </row>
    <row r="17" spans="1:19" x14ac:dyDescent="0.3">
      <c r="A17" t="s">
        <v>901</v>
      </c>
      <c r="B17">
        <v>301.57600000000002</v>
      </c>
      <c r="C17">
        <v>71.843000000000004</v>
      </c>
      <c r="D17">
        <v>58.055</v>
      </c>
      <c r="E17">
        <v>0.55500000000000005</v>
      </c>
      <c r="F17">
        <v>81.551000000000002</v>
      </c>
      <c r="G17">
        <v>13.835000000000001</v>
      </c>
      <c r="H17">
        <v>162.988</v>
      </c>
      <c r="I17">
        <v>35.529000000000003</v>
      </c>
      <c r="J17">
        <v>7.9050000000000002</v>
      </c>
      <c r="K17">
        <v>230.47</v>
      </c>
      <c r="L17">
        <v>11.346</v>
      </c>
      <c r="M17">
        <v>52.283999999999999</v>
      </c>
      <c r="N17">
        <v>11.403</v>
      </c>
      <c r="O17">
        <v>1.08</v>
      </c>
      <c r="P17">
        <v>0</v>
      </c>
      <c r="Q17">
        <v>96.531000000000006</v>
      </c>
      <c r="R17">
        <v>56.8</v>
      </c>
      <c r="S17">
        <v>56</v>
      </c>
    </row>
    <row r="18" spans="1:19" x14ac:dyDescent="0.3">
      <c r="A18" t="s">
        <v>902</v>
      </c>
      <c r="B18">
        <v>301.86</v>
      </c>
      <c r="C18">
        <v>71.87</v>
      </c>
      <c r="D18">
        <v>58.118000000000002</v>
      </c>
      <c r="E18">
        <v>0.47299999999999998</v>
      </c>
      <c r="F18">
        <v>80.638000000000005</v>
      </c>
      <c r="G18">
        <v>13.507999999999999</v>
      </c>
      <c r="H18">
        <v>162.881</v>
      </c>
      <c r="I18">
        <v>35.517000000000003</v>
      </c>
      <c r="J18">
        <v>7.8959999999999999</v>
      </c>
      <c r="K18">
        <v>230.10900000000001</v>
      </c>
      <c r="L18">
        <v>11.529</v>
      </c>
      <c r="M18">
        <v>52.183</v>
      </c>
      <c r="N18">
        <v>11.401999999999999</v>
      </c>
      <c r="O18">
        <v>1.075</v>
      </c>
      <c r="P18">
        <v>0</v>
      </c>
      <c r="Q18">
        <v>96.834999999999994</v>
      </c>
      <c r="R18">
        <v>56.6</v>
      </c>
      <c r="S18">
        <v>56</v>
      </c>
    </row>
    <row r="19" spans="1:19" x14ac:dyDescent="0.3">
      <c r="A19" t="s">
        <v>903</v>
      </c>
      <c r="B19">
        <v>301.517</v>
      </c>
      <c r="C19">
        <v>71.935000000000002</v>
      </c>
      <c r="D19">
        <v>58.18</v>
      </c>
      <c r="E19">
        <v>0.57199999999999995</v>
      </c>
      <c r="F19">
        <v>81.100999999999999</v>
      </c>
      <c r="G19">
        <v>13.391999999999999</v>
      </c>
      <c r="H19">
        <v>162.887</v>
      </c>
      <c r="I19">
        <v>35.463000000000001</v>
      </c>
      <c r="J19">
        <v>7.907</v>
      </c>
      <c r="K19">
        <v>230.42099999999999</v>
      </c>
      <c r="L19">
        <v>11.552</v>
      </c>
      <c r="M19">
        <v>52.374000000000002</v>
      </c>
      <c r="N19">
        <v>11.406000000000001</v>
      </c>
      <c r="O19">
        <v>1.069</v>
      </c>
      <c r="P19">
        <v>0</v>
      </c>
      <c r="Q19">
        <v>96.988</v>
      </c>
      <c r="R19">
        <v>56.4</v>
      </c>
      <c r="S19">
        <v>56</v>
      </c>
    </row>
    <row r="20" spans="1:19" x14ac:dyDescent="0.3">
      <c r="A20" t="s">
        <v>904</v>
      </c>
      <c r="B20">
        <v>303.06</v>
      </c>
      <c r="C20">
        <v>71.882999999999996</v>
      </c>
      <c r="D20">
        <v>58.298999999999999</v>
      </c>
      <c r="E20">
        <v>0.501</v>
      </c>
      <c r="F20">
        <v>81.150000000000006</v>
      </c>
      <c r="G20">
        <v>13.503</v>
      </c>
      <c r="H20">
        <v>162.81800000000001</v>
      </c>
      <c r="I20">
        <v>35.381</v>
      </c>
      <c r="J20">
        <v>7.8959999999999999</v>
      </c>
      <c r="K20">
        <v>230.01</v>
      </c>
      <c r="L20">
        <v>11.343</v>
      </c>
      <c r="M20">
        <v>52.268000000000001</v>
      </c>
      <c r="N20">
        <v>11.394</v>
      </c>
      <c r="O20">
        <v>1.079</v>
      </c>
      <c r="P20">
        <v>0</v>
      </c>
      <c r="Q20">
        <v>96.570999999999998</v>
      </c>
      <c r="R20">
        <v>56.3</v>
      </c>
      <c r="S20">
        <v>56</v>
      </c>
    </row>
    <row r="21" spans="1:19" x14ac:dyDescent="0.3">
      <c r="A21" t="s">
        <v>905</v>
      </c>
      <c r="B21">
        <v>303.31900000000002</v>
      </c>
      <c r="C21">
        <v>71.951999999999998</v>
      </c>
      <c r="D21">
        <v>58.350999999999999</v>
      </c>
      <c r="E21">
        <v>0.56899999999999995</v>
      </c>
      <c r="F21">
        <v>82.34</v>
      </c>
      <c r="G21">
        <v>13.906000000000001</v>
      </c>
      <c r="H21">
        <v>162.83600000000001</v>
      </c>
      <c r="I21">
        <v>35.43</v>
      </c>
      <c r="J21">
        <v>7.9089999999999998</v>
      </c>
      <c r="K21">
        <v>230.45400000000001</v>
      </c>
      <c r="L21">
        <v>11.393000000000001</v>
      </c>
      <c r="M21">
        <v>52.326999999999998</v>
      </c>
      <c r="N21">
        <v>11.396000000000001</v>
      </c>
      <c r="O21">
        <v>1.0900000000000001</v>
      </c>
      <c r="P21">
        <v>0</v>
      </c>
      <c r="Q21">
        <v>96.108999999999995</v>
      </c>
      <c r="R21">
        <v>56.3</v>
      </c>
      <c r="S21">
        <v>56</v>
      </c>
    </row>
    <row r="22" spans="1:19" x14ac:dyDescent="0.3">
      <c r="A22" t="s">
        <v>906</v>
      </c>
      <c r="B22">
        <v>303.71300000000002</v>
      </c>
      <c r="C22">
        <v>71.980999999999995</v>
      </c>
      <c r="D22">
        <v>58.45</v>
      </c>
      <c r="E22">
        <v>0.51200000000000001</v>
      </c>
      <c r="F22">
        <v>81.150000000000006</v>
      </c>
      <c r="G22">
        <v>13.912000000000001</v>
      </c>
      <c r="H22">
        <v>162.893</v>
      </c>
      <c r="I22">
        <v>35.606999999999999</v>
      </c>
      <c r="J22">
        <v>7.8970000000000002</v>
      </c>
      <c r="K22">
        <v>230.04300000000001</v>
      </c>
      <c r="L22">
        <v>11.41</v>
      </c>
      <c r="M22">
        <v>52.235999999999997</v>
      </c>
      <c r="N22">
        <v>11.404</v>
      </c>
      <c r="O22">
        <v>1.087</v>
      </c>
      <c r="P22">
        <v>0</v>
      </c>
      <c r="Q22">
        <v>97.147000000000006</v>
      </c>
      <c r="R22">
        <v>56.3</v>
      </c>
      <c r="S22">
        <v>56</v>
      </c>
    </row>
    <row r="23" spans="1:19" x14ac:dyDescent="0.3">
      <c r="A23" t="s">
        <v>907</v>
      </c>
      <c r="B23">
        <v>303.13600000000002</v>
      </c>
      <c r="C23">
        <v>71.988</v>
      </c>
      <c r="D23">
        <v>58.43</v>
      </c>
      <c r="E23">
        <v>0.54300000000000004</v>
      </c>
      <c r="F23">
        <v>80.834999999999994</v>
      </c>
      <c r="G23">
        <v>13.866</v>
      </c>
      <c r="H23">
        <v>162.96</v>
      </c>
      <c r="I23">
        <v>35.622999999999998</v>
      </c>
      <c r="J23">
        <v>7.91</v>
      </c>
      <c r="K23">
        <v>230.42099999999999</v>
      </c>
      <c r="L23">
        <v>11.446</v>
      </c>
      <c r="M23">
        <v>52.247999999999998</v>
      </c>
      <c r="N23">
        <v>11.396000000000001</v>
      </c>
      <c r="O23">
        <v>1.0840000000000001</v>
      </c>
      <c r="P23">
        <v>0</v>
      </c>
      <c r="Q23">
        <v>97.084999999999994</v>
      </c>
      <c r="R23">
        <v>56.2</v>
      </c>
      <c r="S23">
        <v>56</v>
      </c>
    </row>
    <row r="24" spans="1:19" x14ac:dyDescent="0.3">
      <c r="A24" t="s">
        <v>908</v>
      </c>
      <c r="B24">
        <v>303.39999999999998</v>
      </c>
      <c r="C24">
        <v>72.013999999999996</v>
      </c>
      <c r="D24">
        <v>58.545000000000002</v>
      </c>
      <c r="E24">
        <v>0.56599999999999995</v>
      </c>
      <c r="F24">
        <v>81.600999999999999</v>
      </c>
      <c r="G24">
        <v>14.198</v>
      </c>
      <c r="H24">
        <v>162.976</v>
      </c>
      <c r="I24">
        <v>35.426000000000002</v>
      </c>
      <c r="J24">
        <v>7.8970000000000002</v>
      </c>
      <c r="K24">
        <v>230.17400000000001</v>
      </c>
      <c r="L24">
        <v>11.426</v>
      </c>
      <c r="M24">
        <v>52.134</v>
      </c>
      <c r="N24">
        <v>11.4</v>
      </c>
      <c r="O24">
        <v>1.0780000000000001</v>
      </c>
      <c r="P24">
        <v>0</v>
      </c>
      <c r="Q24">
        <v>97.081999999999994</v>
      </c>
      <c r="R24">
        <v>56.2</v>
      </c>
      <c r="S24">
        <v>56</v>
      </c>
    </row>
    <row r="25" spans="1:19" ht="15" thickBot="1" x14ac:dyDescent="0.35">
      <c r="A25" t="s">
        <v>909</v>
      </c>
      <c r="B25">
        <v>302.923</v>
      </c>
      <c r="C25">
        <v>72.021000000000001</v>
      </c>
      <c r="D25">
        <v>58.594000000000001</v>
      </c>
      <c r="E25">
        <v>0.54300000000000004</v>
      </c>
      <c r="F25">
        <v>82.754000000000005</v>
      </c>
      <c r="G25">
        <v>14.23</v>
      </c>
      <c r="H25">
        <v>163.005</v>
      </c>
      <c r="I25">
        <v>35.524999999999999</v>
      </c>
      <c r="J25">
        <v>7.9</v>
      </c>
      <c r="K25">
        <v>230.15799999999999</v>
      </c>
      <c r="L25">
        <v>11.433</v>
      </c>
      <c r="M25">
        <v>52.155999999999999</v>
      </c>
      <c r="N25">
        <v>11.409000000000001</v>
      </c>
      <c r="O25">
        <v>1.081</v>
      </c>
      <c r="P25">
        <v>0</v>
      </c>
      <c r="Q25">
        <v>96.680999999999997</v>
      </c>
      <c r="R25">
        <v>56.1</v>
      </c>
      <c r="S25">
        <v>56</v>
      </c>
    </row>
    <row r="26" spans="1:19" ht="15" thickBot="1" x14ac:dyDescent="0.35">
      <c r="A26" t="s">
        <v>30</v>
      </c>
      <c r="B26" s="1">
        <f t="shared" ref="B26:S26" si="0">AVERAGE(B6:B25)</f>
        <v>301.85255000000006</v>
      </c>
      <c r="C26" s="1">
        <f t="shared" si="0"/>
        <v>71.876899999999992</v>
      </c>
      <c r="D26" s="1">
        <f t="shared" si="0"/>
        <v>57.810350000000007</v>
      </c>
      <c r="E26" s="10">
        <f t="shared" si="0"/>
        <v>0.53029999999999999</v>
      </c>
      <c r="F26" s="1">
        <f t="shared" si="0"/>
        <v>81.292349999999985</v>
      </c>
      <c r="G26" s="1">
        <f t="shared" si="0"/>
        <v>13.467100000000002</v>
      </c>
      <c r="H26" s="10">
        <f t="shared" si="0"/>
        <v>162.92835000000002</v>
      </c>
      <c r="I26" s="1">
        <f t="shared" si="0"/>
        <v>35.430950000000003</v>
      </c>
      <c r="J26" s="8">
        <f t="shared" si="0"/>
        <v>7.9007499999999995</v>
      </c>
      <c r="K26" s="1">
        <f t="shared" si="0"/>
        <v>230.22460000000001</v>
      </c>
      <c r="L26" s="1">
        <f t="shared" si="0"/>
        <v>11.415449999999996</v>
      </c>
      <c r="M26" s="1">
        <f t="shared" si="0"/>
        <v>52.253550000000004</v>
      </c>
      <c r="N26" s="1">
        <f t="shared" si="0"/>
        <v>11.40235</v>
      </c>
      <c r="O26" s="1">
        <f t="shared" si="0"/>
        <v>1.0785999999999998</v>
      </c>
      <c r="P26" s="1">
        <f t="shared" si="0"/>
        <v>0</v>
      </c>
      <c r="Q26" s="1">
        <f t="shared" si="0"/>
        <v>95.963199999999986</v>
      </c>
      <c r="R26" s="1">
        <f t="shared" si="0"/>
        <v>56.564999999999984</v>
      </c>
      <c r="S26" s="1">
        <f t="shared" si="0"/>
        <v>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5908-60FC-4516-A881-859C4D34989A}">
  <dimension ref="A1:U2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2" sqref="K32"/>
    </sheetView>
  </sheetViews>
  <sheetFormatPr baseColWidth="10" defaultRowHeight="14.4" x14ac:dyDescent="0.3"/>
  <sheetData>
    <row r="1" spans="1:21" ht="15" thickBot="1" x14ac:dyDescent="0.35">
      <c r="A1" s="2">
        <v>45469</v>
      </c>
      <c r="C1" s="3" t="s">
        <v>31</v>
      </c>
      <c r="E1" s="3" t="s">
        <v>32</v>
      </c>
      <c r="G1" s="3" t="s">
        <v>33</v>
      </c>
      <c r="I1" s="4" t="s">
        <v>34</v>
      </c>
      <c r="K1" s="3" t="s">
        <v>35</v>
      </c>
      <c r="M1" s="3" t="s">
        <v>36</v>
      </c>
      <c r="O1" s="3" t="s">
        <v>37</v>
      </c>
      <c r="Q1" s="4" t="s">
        <v>38</v>
      </c>
      <c r="S1" s="3" t="s">
        <v>39</v>
      </c>
      <c r="U1" s="4" t="s">
        <v>40</v>
      </c>
    </row>
    <row r="2" spans="1:21" ht="15" thickBot="1" x14ac:dyDescent="0.35">
      <c r="A2" s="5">
        <v>0.66626157407407405</v>
      </c>
      <c r="C2" s="6">
        <v>42.7</v>
      </c>
      <c r="E2" s="6">
        <v>50.03</v>
      </c>
      <c r="G2" s="6">
        <v>1.6E-2</v>
      </c>
      <c r="I2" s="7">
        <v>2.24E-2</v>
      </c>
      <c r="K2" s="8">
        <f>(H26*0.001*60)*(M2/100)*(G2/I2)</f>
        <v>2.4913517390086435</v>
      </c>
      <c r="M2" s="8">
        <f>100*(R26/(R26+Q26))</f>
        <v>35.689128228424224</v>
      </c>
      <c r="O2" s="9">
        <f>100*((E26*C2)/((E26*C2)+(K2*E2)))</f>
        <v>18.506813329554742</v>
      </c>
      <c r="Q2" s="10">
        <f>100*J26*(1/(((C2/3.6)*E26)+((E2/3.6)*K2)))</f>
        <v>23.632948961405415</v>
      </c>
      <c r="S2" s="6">
        <v>3.54</v>
      </c>
      <c r="U2" s="10">
        <f>100*((((G26*0.001*60)*(C26-D26)*(S2/3.6)))/(((C2/3.6)*E26)+((E2/3.6)*K2)))</f>
        <v>25.891401863458963</v>
      </c>
    </row>
    <row r="4" spans="1:21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6" spans="1:21" x14ac:dyDescent="0.3">
      <c r="A6" t="s">
        <v>910</v>
      </c>
      <c r="B6">
        <v>390.31400000000002</v>
      </c>
      <c r="C6">
        <v>74.938000000000002</v>
      </c>
      <c r="D6">
        <v>70.864000000000004</v>
      </c>
      <c r="E6">
        <v>0.58599999999999997</v>
      </c>
      <c r="F6">
        <v>84.192999999999998</v>
      </c>
      <c r="G6">
        <v>40.859000000000002</v>
      </c>
      <c r="H6">
        <v>163.00399999999999</v>
      </c>
      <c r="I6">
        <v>34.186</v>
      </c>
      <c r="J6">
        <v>9.9949999999999992</v>
      </c>
      <c r="K6">
        <v>229.40199999999999</v>
      </c>
      <c r="L6">
        <v>14.457000000000001</v>
      </c>
      <c r="M6">
        <v>51.558</v>
      </c>
      <c r="N6">
        <v>14.388999999999999</v>
      </c>
      <c r="O6">
        <v>1.1339999999999999</v>
      </c>
      <c r="P6">
        <v>0</v>
      </c>
      <c r="Q6">
        <v>109.83499999999999</v>
      </c>
      <c r="R6">
        <v>63</v>
      </c>
      <c r="S6">
        <v>52.2</v>
      </c>
    </row>
    <row r="7" spans="1:21" x14ac:dyDescent="0.3">
      <c r="A7" t="s">
        <v>911</v>
      </c>
      <c r="B7">
        <v>388.4</v>
      </c>
      <c r="C7">
        <v>75.052999999999997</v>
      </c>
      <c r="D7">
        <v>70.873999999999995</v>
      </c>
      <c r="E7">
        <v>0.60199999999999998</v>
      </c>
      <c r="F7">
        <v>85.207999999999998</v>
      </c>
      <c r="G7">
        <v>41.156999999999996</v>
      </c>
      <c r="H7">
        <v>162.922</v>
      </c>
      <c r="I7">
        <v>33.820999999999998</v>
      </c>
      <c r="J7">
        <v>10.048</v>
      </c>
      <c r="K7">
        <v>230.10900000000001</v>
      </c>
      <c r="L7">
        <v>14.586</v>
      </c>
      <c r="M7">
        <v>52.174999999999997</v>
      </c>
      <c r="N7">
        <v>14.429</v>
      </c>
      <c r="O7">
        <v>1.1519999999999999</v>
      </c>
      <c r="P7">
        <v>0</v>
      </c>
      <c r="Q7">
        <v>110.60899999999999</v>
      </c>
      <c r="R7">
        <v>62.8</v>
      </c>
      <c r="S7">
        <v>52.2</v>
      </c>
    </row>
    <row r="8" spans="1:21" x14ac:dyDescent="0.3">
      <c r="A8" t="s">
        <v>912</v>
      </c>
      <c r="B8">
        <v>393.84500000000003</v>
      </c>
      <c r="C8">
        <v>75.06</v>
      </c>
      <c r="D8">
        <v>70.870999999999995</v>
      </c>
      <c r="E8">
        <v>0.63100000000000001</v>
      </c>
      <c r="F8">
        <v>84.816999999999993</v>
      </c>
      <c r="G8">
        <v>40.817</v>
      </c>
      <c r="H8">
        <v>162.85599999999999</v>
      </c>
      <c r="I8">
        <v>33.997</v>
      </c>
      <c r="J8">
        <v>10.036</v>
      </c>
      <c r="K8">
        <v>229.74700000000001</v>
      </c>
      <c r="L8">
        <v>14.567</v>
      </c>
      <c r="M8">
        <v>52.179000000000002</v>
      </c>
      <c r="N8">
        <v>14.425000000000001</v>
      </c>
      <c r="O8">
        <v>1.145</v>
      </c>
      <c r="P8">
        <v>0</v>
      </c>
      <c r="Q8">
        <v>111.414</v>
      </c>
      <c r="R8">
        <v>62.5</v>
      </c>
      <c r="S8">
        <v>52.2</v>
      </c>
    </row>
    <row r="9" spans="1:21" x14ac:dyDescent="0.3">
      <c r="A9" t="s">
        <v>913</v>
      </c>
      <c r="B9">
        <v>393.221</v>
      </c>
      <c r="C9">
        <v>75.088999999999999</v>
      </c>
      <c r="D9">
        <v>70.840999999999994</v>
      </c>
      <c r="E9">
        <v>0.63800000000000001</v>
      </c>
      <c r="F9">
        <v>85.227000000000004</v>
      </c>
      <c r="G9">
        <v>41.000999999999998</v>
      </c>
      <c r="H9">
        <v>162.84700000000001</v>
      </c>
      <c r="I9">
        <v>33.976999999999997</v>
      </c>
      <c r="J9">
        <v>10.048999999999999</v>
      </c>
      <c r="K9">
        <v>230.10900000000001</v>
      </c>
      <c r="L9">
        <v>14.585000000000001</v>
      </c>
      <c r="M9">
        <v>52.134</v>
      </c>
      <c r="N9">
        <v>14.436999999999999</v>
      </c>
      <c r="O9">
        <v>1.1439999999999999</v>
      </c>
      <c r="P9">
        <v>0</v>
      </c>
      <c r="Q9">
        <v>111.86499999999999</v>
      </c>
      <c r="R9">
        <v>62.2</v>
      </c>
      <c r="S9">
        <v>52.2</v>
      </c>
    </row>
    <row r="10" spans="1:21" x14ac:dyDescent="0.3">
      <c r="A10" t="s">
        <v>914</v>
      </c>
      <c r="B10">
        <v>391.815</v>
      </c>
      <c r="C10">
        <v>75.055999999999997</v>
      </c>
      <c r="D10">
        <v>70.91</v>
      </c>
      <c r="E10">
        <v>0.66400000000000003</v>
      </c>
      <c r="F10">
        <v>84.832999999999998</v>
      </c>
      <c r="G10">
        <v>40.649000000000001</v>
      </c>
      <c r="H10">
        <v>162.84</v>
      </c>
      <c r="I10">
        <v>33.817</v>
      </c>
      <c r="J10">
        <v>10.035</v>
      </c>
      <c r="K10">
        <v>229.714</v>
      </c>
      <c r="L10">
        <v>14.566000000000001</v>
      </c>
      <c r="M10">
        <v>52.070999999999998</v>
      </c>
      <c r="N10">
        <v>14.426</v>
      </c>
      <c r="O10">
        <v>1.1040000000000001</v>
      </c>
      <c r="P10">
        <v>0</v>
      </c>
      <c r="Q10">
        <v>112.167</v>
      </c>
      <c r="R10">
        <v>62.1</v>
      </c>
      <c r="S10">
        <v>52.2</v>
      </c>
    </row>
    <row r="11" spans="1:21" x14ac:dyDescent="0.3">
      <c r="A11" t="s">
        <v>915</v>
      </c>
      <c r="B11">
        <v>392.58600000000001</v>
      </c>
      <c r="C11">
        <v>75.03</v>
      </c>
      <c r="D11">
        <v>70.588999999999999</v>
      </c>
      <c r="E11">
        <v>0.64800000000000002</v>
      </c>
      <c r="F11">
        <v>83.715999999999994</v>
      </c>
      <c r="G11">
        <v>40.436999999999998</v>
      </c>
      <c r="H11">
        <v>162.946</v>
      </c>
      <c r="I11">
        <v>34.177999999999997</v>
      </c>
      <c r="J11">
        <v>10.055999999999999</v>
      </c>
      <c r="K11">
        <v>230.404</v>
      </c>
      <c r="L11">
        <v>14.61</v>
      </c>
      <c r="M11">
        <v>52.122</v>
      </c>
      <c r="N11">
        <v>14.420999999999999</v>
      </c>
      <c r="O11">
        <v>1.155</v>
      </c>
      <c r="P11">
        <v>0</v>
      </c>
      <c r="Q11">
        <v>112.604</v>
      </c>
      <c r="R11">
        <v>61.8</v>
      </c>
      <c r="S11">
        <v>52.2</v>
      </c>
    </row>
    <row r="12" spans="1:21" x14ac:dyDescent="0.3">
      <c r="A12" t="s">
        <v>916</v>
      </c>
      <c r="B12">
        <v>389.81</v>
      </c>
      <c r="C12">
        <v>75.02</v>
      </c>
      <c r="D12">
        <v>70.361999999999995</v>
      </c>
      <c r="E12">
        <v>0.68</v>
      </c>
      <c r="F12">
        <v>84.201999999999998</v>
      </c>
      <c r="G12">
        <v>40.932000000000002</v>
      </c>
      <c r="H12">
        <v>162.85400000000001</v>
      </c>
      <c r="I12">
        <v>33.767000000000003</v>
      </c>
      <c r="J12">
        <v>10.037000000000001</v>
      </c>
      <c r="K12">
        <v>229.82900000000001</v>
      </c>
      <c r="L12">
        <v>14.656000000000001</v>
      </c>
      <c r="M12">
        <v>52.082999999999998</v>
      </c>
      <c r="N12">
        <v>14.417999999999999</v>
      </c>
      <c r="O12">
        <v>1.1319999999999999</v>
      </c>
      <c r="P12">
        <v>0</v>
      </c>
      <c r="Q12">
        <v>113.379</v>
      </c>
      <c r="R12">
        <v>61.4</v>
      </c>
      <c r="S12">
        <v>52.2</v>
      </c>
    </row>
    <row r="13" spans="1:21" x14ac:dyDescent="0.3">
      <c r="A13" t="s">
        <v>917</v>
      </c>
      <c r="B13">
        <v>393.91500000000002</v>
      </c>
      <c r="C13">
        <v>75.037000000000006</v>
      </c>
      <c r="D13">
        <v>70.394999999999996</v>
      </c>
      <c r="E13">
        <v>0.68100000000000005</v>
      </c>
      <c r="F13">
        <v>85.122</v>
      </c>
      <c r="G13">
        <v>41.305999999999997</v>
      </c>
      <c r="H13">
        <v>162.88499999999999</v>
      </c>
      <c r="I13">
        <v>34.289000000000001</v>
      </c>
      <c r="J13">
        <v>10.051</v>
      </c>
      <c r="K13">
        <v>230.20699999999999</v>
      </c>
      <c r="L13">
        <v>14.656000000000001</v>
      </c>
      <c r="M13">
        <v>52.012</v>
      </c>
      <c r="N13">
        <v>14.42</v>
      </c>
      <c r="O13">
        <v>1.149</v>
      </c>
      <c r="P13">
        <v>0</v>
      </c>
      <c r="Q13">
        <v>113.958</v>
      </c>
      <c r="R13">
        <v>61.1</v>
      </c>
      <c r="S13">
        <v>52.2</v>
      </c>
    </row>
    <row r="14" spans="1:21" x14ac:dyDescent="0.3">
      <c r="A14" t="s">
        <v>918</v>
      </c>
      <c r="B14">
        <v>393.63499999999999</v>
      </c>
      <c r="C14">
        <v>75.158000000000001</v>
      </c>
      <c r="D14">
        <v>70.424000000000007</v>
      </c>
      <c r="E14">
        <v>0.68200000000000005</v>
      </c>
      <c r="F14">
        <v>84.738</v>
      </c>
      <c r="G14">
        <v>41.082999999999998</v>
      </c>
      <c r="H14">
        <v>162.84700000000001</v>
      </c>
      <c r="I14">
        <v>33.988999999999997</v>
      </c>
      <c r="J14">
        <v>10.039</v>
      </c>
      <c r="K14">
        <v>229.977</v>
      </c>
      <c r="L14">
        <v>14.663</v>
      </c>
      <c r="M14">
        <v>51.996000000000002</v>
      </c>
      <c r="N14">
        <v>14.423</v>
      </c>
      <c r="O14">
        <v>1.137</v>
      </c>
      <c r="P14">
        <v>0</v>
      </c>
      <c r="Q14">
        <v>114.24</v>
      </c>
      <c r="R14">
        <v>60.9</v>
      </c>
      <c r="S14">
        <v>52.2</v>
      </c>
    </row>
    <row r="15" spans="1:21" x14ac:dyDescent="0.3">
      <c r="A15" t="s">
        <v>919</v>
      </c>
      <c r="B15">
        <v>393.16199999999998</v>
      </c>
      <c r="C15">
        <v>75.024000000000001</v>
      </c>
      <c r="D15">
        <v>70.400999999999996</v>
      </c>
      <c r="E15">
        <v>0.69599999999999995</v>
      </c>
      <c r="F15">
        <v>85.063000000000002</v>
      </c>
      <c r="G15">
        <v>41.298000000000002</v>
      </c>
      <c r="H15">
        <v>162.79</v>
      </c>
      <c r="I15">
        <v>34.186</v>
      </c>
      <c r="J15">
        <v>10.048999999999999</v>
      </c>
      <c r="K15">
        <v>230.125</v>
      </c>
      <c r="L15">
        <v>14.617000000000001</v>
      </c>
      <c r="M15">
        <v>51.930999999999997</v>
      </c>
      <c r="N15">
        <v>14.423999999999999</v>
      </c>
      <c r="O15">
        <v>1.1339999999999999</v>
      </c>
      <c r="P15">
        <v>0</v>
      </c>
      <c r="Q15">
        <v>114.36</v>
      </c>
      <c r="R15">
        <v>60.9</v>
      </c>
      <c r="S15">
        <v>52.2</v>
      </c>
    </row>
    <row r="16" spans="1:21" x14ac:dyDescent="0.3">
      <c r="A16" t="s">
        <v>920</v>
      </c>
      <c r="B16">
        <v>393.97699999999998</v>
      </c>
      <c r="C16">
        <v>75.027000000000001</v>
      </c>
      <c r="D16">
        <v>70.367999999999995</v>
      </c>
      <c r="E16">
        <v>0.74299999999999999</v>
      </c>
      <c r="F16">
        <v>83.933000000000007</v>
      </c>
      <c r="G16">
        <v>41.365000000000002</v>
      </c>
      <c r="H16">
        <v>162.928</v>
      </c>
      <c r="I16">
        <v>34.145000000000003</v>
      </c>
      <c r="J16">
        <v>10.039999999999999</v>
      </c>
      <c r="K16">
        <v>229.89500000000001</v>
      </c>
      <c r="L16">
        <v>14.574</v>
      </c>
      <c r="M16">
        <v>52.021000000000001</v>
      </c>
      <c r="N16">
        <v>14.422000000000001</v>
      </c>
      <c r="O16">
        <v>1.1499999999999999</v>
      </c>
      <c r="P16">
        <v>0</v>
      </c>
      <c r="Q16">
        <v>111.44199999999999</v>
      </c>
      <c r="R16">
        <v>61.9</v>
      </c>
      <c r="S16">
        <v>52.2</v>
      </c>
    </row>
    <row r="17" spans="1:19" x14ac:dyDescent="0.3">
      <c r="A17" t="s">
        <v>921</v>
      </c>
      <c r="B17">
        <v>393.036</v>
      </c>
      <c r="C17">
        <v>75.037000000000006</v>
      </c>
      <c r="D17">
        <v>70.394999999999996</v>
      </c>
      <c r="E17">
        <v>0.69399999999999995</v>
      </c>
      <c r="F17">
        <v>83.992000000000004</v>
      </c>
      <c r="G17">
        <v>41.308</v>
      </c>
      <c r="H17">
        <v>162.84800000000001</v>
      </c>
      <c r="I17">
        <v>34.194000000000003</v>
      </c>
      <c r="J17">
        <v>10.048999999999999</v>
      </c>
      <c r="K17">
        <v>230.04300000000001</v>
      </c>
      <c r="L17">
        <v>14.577999999999999</v>
      </c>
      <c r="M17">
        <v>52.155999999999999</v>
      </c>
      <c r="N17">
        <v>14.426</v>
      </c>
      <c r="O17">
        <v>1.129</v>
      </c>
      <c r="P17">
        <v>0</v>
      </c>
      <c r="Q17">
        <v>109.929</v>
      </c>
      <c r="R17">
        <v>62.5</v>
      </c>
      <c r="S17">
        <v>52.2</v>
      </c>
    </row>
    <row r="18" spans="1:19" x14ac:dyDescent="0.3">
      <c r="A18" t="s">
        <v>922</v>
      </c>
      <c r="B18">
        <v>391.66399999999999</v>
      </c>
      <c r="C18">
        <v>75.111999999999995</v>
      </c>
      <c r="D18">
        <v>70.489999999999995</v>
      </c>
      <c r="E18">
        <v>0.66900000000000004</v>
      </c>
      <c r="F18">
        <v>83.572000000000003</v>
      </c>
      <c r="G18">
        <v>41.548000000000002</v>
      </c>
      <c r="H18">
        <v>162.81899999999999</v>
      </c>
      <c r="I18">
        <v>34.277000000000001</v>
      </c>
      <c r="J18">
        <v>10.037000000000001</v>
      </c>
      <c r="K18">
        <v>229.928</v>
      </c>
      <c r="L18">
        <v>14.573</v>
      </c>
      <c r="M18">
        <v>52.09</v>
      </c>
      <c r="N18">
        <v>14.420999999999999</v>
      </c>
      <c r="O18">
        <v>1.135</v>
      </c>
      <c r="P18">
        <v>0</v>
      </c>
      <c r="Q18">
        <v>110.185</v>
      </c>
      <c r="R18">
        <v>62.6</v>
      </c>
      <c r="S18">
        <v>52.2</v>
      </c>
    </row>
    <row r="19" spans="1:19" x14ac:dyDescent="0.3">
      <c r="A19" t="s">
        <v>923</v>
      </c>
      <c r="B19">
        <v>391.62299999999999</v>
      </c>
      <c r="C19">
        <v>75.085999999999999</v>
      </c>
      <c r="D19">
        <v>70.436999999999998</v>
      </c>
      <c r="E19">
        <v>0.64700000000000002</v>
      </c>
      <c r="F19">
        <v>84.646000000000001</v>
      </c>
      <c r="G19">
        <v>41.170999999999999</v>
      </c>
      <c r="H19">
        <v>162.87100000000001</v>
      </c>
      <c r="I19">
        <v>33.96</v>
      </c>
      <c r="J19">
        <v>10.048999999999999</v>
      </c>
      <c r="K19">
        <v>229.87899999999999</v>
      </c>
      <c r="L19">
        <v>14.571999999999999</v>
      </c>
      <c r="M19">
        <v>52.234000000000002</v>
      </c>
      <c r="N19">
        <v>14.422000000000001</v>
      </c>
      <c r="O19">
        <v>1.1419999999999999</v>
      </c>
      <c r="P19">
        <v>0</v>
      </c>
      <c r="Q19">
        <v>110.648</v>
      </c>
      <c r="R19">
        <v>62.5</v>
      </c>
      <c r="S19">
        <v>52.2</v>
      </c>
    </row>
    <row r="20" spans="1:19" x14ac:dyDescent="0.3">
      <c r="A20" t="s">
        <v>924</v>
      </c>
      <c r="B20">
        <v>395.66399999999999</v>
      </c>
      <c r="C20">
        <v>75.138999999999996</v>
      </c>
      <c r="D20">
        <v>70.525999999999996</v>
      </c>
      <c r="E20">
        <v>0.64100000000000001</v>
      </c>
      <c r="F20">
        <v>84.757999999999996</v>
      </c>
      <c r="G20">
        <v>41.515000000000001</v>
      </c>
      <c r="H20">
        <v>162.947</v>
      </c>
      <c r="I20">
        <v>34.383000000000003</v>
      </c>
      <c r="J20">
        <v>10.038</v>
      </c>
      <c r="K20">
        <v>229.96100000000001</v>
      </c>
      <c r="L20">
        <v>14.56</v>
      </c>
      <c r="M20">
        <v>52.079000000000001</v>
      </c>
      <c r="N20">
        <v>14.428000000000001</v>
      </c>
      <c r="O20">
        <v>1.1359999999999999</v>
      </c>
      <c r="P20">
        <v>0</v>
      </c>
      <c r="Q20">
        <v>110.84099999999999</v>
      </c>
      <c r="R20">
        <v>62.6</v>
      </c>
      <c r="S20">
        <v>52.2</v>
      </c>
    </row>
    <row r="21" spans="1:19" x14ac:dyDescent="0.3">
      <c r="A21" t="s">
        <v>925</v>
      </c>
      <c r="B21">
        <v>393.15499999999997</v>
      </c>
      <c r="C21">
        <v>75.158000000000001</v>
      </c>
      <c r="D21">
        <v>70.497</v>
      </c>
      <c r="E21">
        <v>0.66</v>
      </c>
      <c r="F21">
        <v>85.837999999999994</v>
      </c>
      <c r="G21">
        <v>41.737000000000002</v>
      </c>
      <c r="H21">
        <v>162.91300000000001</v>
      </c>
      <c r="I21">
        <v>34.165999999999997</v>
      </c>
      <c r="J21">
        <v>10.045</v>
      </c>
      <c r="K21">
        <v>229.82900000000001</v>
      </c>
      <c r="L21">
        <v>14.491</v>
      </c>
      <c r="M21">
        <v>52.146000000000001</v>
      </c>
      <c r="N21">
        <v>14.422000000000001</v>
      </c>
      <c r="O21">
        <v>1.137</v>
      </c>
      <c r="P21">
        <v>0</v>
      </c>
      <c r="Q21">
        <v>110.667</v>
      </c>
      <c r="R21">
        <v>62.5</v>
      </c>
      <c r="S21">
        <v>52.2</v>
      </c>
    </row>
    <row r="22" spans="1:19" x14ac:dyDescent="0.3">
      <c r="A22" t="s">
        <v>926</v>
      </c>
      <c r="B22">
        <v>391.18799999999999</v>
      </c>
      <c r="C22">
        <v>75.210999999999999</v>
      </c>
      <c r="D22">
        <v>70.447000000000003</v>
      </c>
      <c r="E22">
        <v>0.64600000000000002</v>
      </c>
      <c r="F22">
        <v>85.293000000000006</v>
      </c>
      <c r="G22">
        <v>40.863999999999997</v>
      </c>
      <c r="H22">
        <v>162.958</v>
      </c>
      <c r="I22">
        <v>34.070999999999998</v>
      </c>
      <c r="J22">
        <v>10.045</v>
      </c>
      <c r="K22">
        <v>229.91200000000001</v>
      </c>
      <c r="L22">
        <v>14.475</v>
      </c>
      <c r="M22">
        <v>52.112000000000002</v>
      </c>
      <c r="N22">
        <v>14.423999999999999</v>
      </c>
      <c r="O22">
        <v>1.1459999999999999</v>
      </c>
      <c r="P22">
        <v>0</v>
      </c>
      <c r="Q22">
        <v>111.149</v>
      </c>
      <c r="R22">
        <v>62.4</v>
      </c>
      <c r="S22">
        <v>52.2</v>
      </c>
    </row>
    <row r="23" spans="1:19" x14ac:dyDescent="0.3">
      <c r="A23" t="s">
        <v>927</v>
      </c>
      <c r="B23">
        <v>389.36099999999999</v>
      </c>
      <c r="C23">
        <v>75.168000000000006</v>
      </c>
      <c r="D23">
        <v>70.48</v>
      </c>
      <c r="E23">
        <v>0.68799999999999994</v>
      </c>
      <c r="F23">
        <v>85.402000000000001</v>
      </c>
      <c r="G23">
        <v>41.042999999999999</v>
      </c>
      <c r="H23">
        <v>162.864</v>
      </c>
      <c r="I23">
        <v>34.371000000000002</v>
      </c>
      <c r="J23">
        <v>10.032999999999999</v>
      </c>
      <c r="K23">
        <v>229.846</v>
      </c>
      <c r="L23">
        <v>14.477</v>
      </c>
      <c r="M23">
        <v>51.924999999999997</v>
      </c>
      <c r="N23">
        <v>14.420999999999999</v>
      </c>
      <c r="O23">
        <v>1.1399999999999999</v>
      </c>
      <c r="P23">
        <v>0</v>
      </c>
      <c r="Q23">
        <v>111.944</v>
      </c>
      <c r="R23">
        <v>62.2</v>
      </c>
      <c r="S23">
        <v>52.2</v>
      </c>
    </row>
    <row r="24" spans="1:19" x14ac:dyDescent="0.3">
      <c r="A24" t="s">
        <v>928</v>
      </c>
      <c r="B24">
        <v>391.32</v>
      </c>
      <c r="C24">
        <v>75.129000000000005</v>
      </c>
      <c r="D24">
        <v>70.358999999999995</v>
      </c>
      <c r="E24">
        <v>0.69299999999999995</v>
      </c>
      <c r="F24">
        <v>84.587000000000003</v>
      </c>
      <c r="G24">
        <v>41.429000000000002</v>
      </c>
      <c r="H24">
        <v>162.94900000000001</v>
      </c>
      <c r="I24">
        <v>34.063000000000002</v>
      </c>
      <c r="J24">
        <v>10.042999999999999</v>
      </c>
      <c r="K24">
        <v>229.994</v>
      </c>
      <c r="L24">
        <v>14.574</v>
      </c>
      <c r="M24">
        <v>52.186999999999998</v>
      </c>
      <c r="N24">
        <v>14.429</v>
      </c>
      <c r="O24">
        <v>1.1439999999999999</v>
      </c>
      <c r="P24">
        <v>0</v>
      </c>
      <c r="Q24">
        <v>112.551</v>
      </c>
      <c r="R24">
        <v>61.8</v>
      </c>
      <c r="S24">
        <v>52.2</v>
      </c>
    </row>
    <row r="25" spans="1:19" ht="15" thickBot="1" x14ac:dyDescent="0.35">
      <c r="A25" t="s">
        <v>929</v>
      </c>
      <c r="B25">
        <v>394.62599999999998</v>
      </c>
      <c r="C25">
        <v>75.108999999999995</v>
      </c>
      <c r="D25">
        <v>70.506</v>
      </c>
      <c r="E25">
        <v>0.66900000000000004</v>
      </c>
      <c r="F25">
        <v>85.3</v>
      </c>
      <c r="G25">
        <v>41.582000000000001</v>
      </c>
      <c r="H25">
        <v>162.773</v>
      </c>
      <c r="I25">
        <v>33.963999999999999</v>
      </c>
      <c r="J25">
        <v>10.038</v>
      </c>
      <c r="K25">
        <v>229.76400000000001</v>
      </c>
      <c r="L25">
        <v>14.563000000000001</v>
      </c>
      <c r="M25">
        <v>52.036999999999999</v>
      </c>
      <c r="N25">
        <v>14.425000000000001</v>
      </c>
      <c r="O25">
        <v>1.1419999999999999</v>
      </c>
      <c r="P25">
        <v>0</v>
      </c>
      <c r="Q25">
        <v>113.003</v>
      </c>
      <c r="R25">
        <v>61.6</v>
      </c>
      <c r="S25">
        <v>52.2</v>
      </c>
    </row>
    <row r="26" spans="1:19" ht="15" thickBot="1" x14ac:dyDescent="0.35">
      <c r="A26" t="s">
        <v>30</v>
      </c>
      <c r="B26" s="1">
        <f t="shared" ref="B26:S26" si="0">AVERAGE(B6:B25)</f>
        <v>392.31584999999995</v>
      </c>
      <c r="C26" s="1">
        <f t="shared" si="0"/>
        <v>75.082049999999981</v>
      </c>
      <c r="D26" s="1">
        <f t="shared" si="0"/>
        <v>70.551799999999986</v>
      </c>
      <c r="E26" s="10">
        <f t="shared" si="0"/>
        <v>0.66290000000000016</v>
      </c>
      <c r="F26" s="1">
        <f t="shared" si="0"/>
        <v>84.721999999999994</v>
      </c>
      <c r="G26" s="1">
        <f t="shared" si="0"/>
        <v>41.155050000000003</v>
      </c>
      <c r="H26" s="10">
        <f t="shared" si="0"/>
        <v>162.88305000000003</v>
      </c>
      <c r="I26" s="1">
        <f t="shared" si="0"/>
        <v>34.090049999999998</v>
      </c>
      <c r="J26" s="8">
        <f t="shared" si="0"/>
        <v>10.040600000000001</v>
      </c>
      <c r="K26" s="1">
        <f t="shared" si="0"/>
        <v>229.93369999999996</v>
      </c>
      <c r="L26" s="1">
        <f t="shared" si="0"/>
        <v>14.570000000000002</v>
      </c>
      <c r="M26" s="1">
        <f t="shared" si="0"/>
        <v>52.06239999999999</v>
      </c>
      <c r="N26" s="1">
        <f t="shared" si="0"/>
        <v>14.422599999999997</v>
      </c>
      <c r="O26" s="1">
        <f t="shared" si="0"/>
        <v>1.1393499999999999</v>
      </c>
      <c r="P26" s="1">
        <f t="shared" si="0"/>
        <v>0</v>
      </c>
      <c r="Q26" s="1">
        <f t="shared" si="0"/>
        <v>111.8395</v>
      </c>
      <c r="R26" s="1">
        <f t="shared" si="0"/>
        <v>62.064999999999998</v>
      </c>
      <c r="S26" s="1">
        <f t="shared" si="0"/>
        <v>52.200000000000024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41</vt:i4>
      </vt:variant>
    </vt:vector>
  </HeadingPairs>
  <TitlesOfParts>
    <vt:vector size="41" baseType="lpstr">
      <vt:lpstr>P0C70</vt:lpstr>
      <vt:lpstr>P0C70_2</vt:lpstr>
      <vt:lpstr>P2C70</vt:lpstr>
      <vt:lpstr>P2C70_2</vt:lpstr>
      <vt:lpstr>P2C70_3</vt:lpstr>
      <vt:lpstr>P4C70</vt:lpstr>
      <vt:lpstr>P4C70_2</vt:lpstr>
      <vt:lpstr>P6C70</vt:lpstr>
      <vt:lpstr>P8C70</vt:lpstr>
      <vt:lpstr>P10C70</vt:lpstr>
      <vt:lpstr>P12C70</vt:lpstr>
      <vt:lpstr>P0C60</vt:lpstr>
      <vt:lpstr>P2C60</vt:lpstr>
      <vt:lpstr>P4C60</vt:lpstr>
      <vt:lpstr>P6C60</vt:lpstr>
      <vt:lpstr>P8C60</vt:lpstr>
      <vt:lpstr>P10C60</vt:lpstr>
      <vt:lpstr>P12C60</vt:lpstr>
      <vt:lpstr>P14C60</vt:lpstr>
      <vt:lpstr>P0C50</vt:lpstr>
      <vt:lpstr>P2C50</vt:lpstr>
      <vt:lpstr>P4C50</vt:lpstr>
      <vt:lpstr>P6C50</vt:lpstr>
      <vt:lpstr>P8C50</vt:lpstr>
      <vt:lpstr>P10C50</vt:lpstr>
      <vt:lpstr>P12C50</vt:lpstr>
      <vt:lpstr>P14C50</vt:lpstr>
      <vt:lpstr>P0C40</vt:lpstr>
      <vt:lpstr>P2C40</vt:lpstr>
      <vt:lpstr>P4C40</vt:lpstr>
      <vt:lpstr>P6C40</vt:lpstr>
      <vt:lpstr>P8C40</vt:lpstr>
      <vt:lpstr>P10C40</vt:lpstr>
      <vt:lpstr>P12C40</vt:lpstr>
      <vt:lpstr>P14C40</vt:lpstr>
      <vt:lpstr>P0C30</vt:lpstr>
      <vt:lpstr>P2C30</vt:lpstr>
      <vt:lpstr>P4C30</vt:lpstr>
      <vt:lpstr>P6C35</vt:lpstr>
      <vt:lpstr>P8C35</vt:lpstr>
      <vt:lpstr>P10C35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Peran FOLLET</dc:creator>
  <cp:lastModifiedBy>Peran FOLLET</cp:lastModifiedBy>
  <dcterms:created xsi:type="dcterms:W3CDTF">2024-06-24T13:37:24Z</dcterms:created>
  <dcterms:modified xsi:type="dcterms:W3CDTF">2025-03-31T08:03:59Z</dcterms:modified>
</cp:coreProperties>
</file>